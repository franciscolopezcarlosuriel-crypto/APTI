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APTI\"/>
    </mc:Choice>
  </mc:AlternateContent>
  <xr:revisionPtr revIDLastSave="0" documentId="13_ncr:1_{C488A515-EE5A-4164-8025-51E406760FEF}" xr6:coauthVersionLast="47" xr6:coauthVersionMax="47" xr10:uidLastSave="{00000000-0000-0000-0000-000000000000}"/>
  <bookViews>
    <workbookView xWindow="-103" yWindow="-103" windowWidth="19954" windowHeight="12652" tabRatio="706" firstSheet="2" activeTab="5" xr2:uid="{00000000-000D-0000-FFFF-FFFF00000000}"/>
  </bookViews>
  <sheets>
    <sheet name="Menú" sheetId="1" r:id="rId1"/>
    <sheet name="Captura de Riesgos" sheetId="2" r:id="rId2"/>
    <sheet name="Análisis Cualitativo" sheetId="3" r:id="rId3"/>
    <sheet name="Análisis Cuantitativo" sheetId="4" r:id="rId4"/>
    <sheet name="Resumen y Plan de Acción" sheetId="5" r:id="rId5"/>
    <sheet name="Estrategias Sugeridas" sheetId="6" r:id="rId6"/>
  </sheets>
  <definedNames>
    <definedName name="AnalisisAplicado" comment="Tipo de Análisis Aplicado al Riesgo">Menú!$E$1:$E$3</definedName>
    <definedName name="CategoriaRiesgo" comment="Categorías de Riesgo predeterminadas">Menú!$B$1:$B$13</definedName>
    <definedName name="Escala1" comment="Escala del 0 al 5">Menú!$I$1:$I$6</definedName>
    <definedName name="Escala2" comment="Escala del 1 al 5">Menú!$J$1:$J$5</definedName>
    <definedName name="Estatus" comment="Estatus del Riesgo">Menú!$G$1:$G$3</definedName>
    <definedName name="Inicializado" comment="Bandera de inicialización de la Captura de riesgos">'Captura de Riesgos'!$A$1</definedName>
    <definedName name="NumRiesgos" comment="Número de riesgos abiertos en el archivo">'Captura de Riesgos'!$B$1</definedName>
    <definedName name="Prioridad" comment="Prioridad del Riesgo">Menú!$H$1:$H$3</definedName>
    <definedName name="Respuesta" comment="Respuesta al Riesgo">Menú!$F$1:$F$4</definedName>
    <definedName name="Riesgos" comment="Lista de Riesgos">'Captura de Riesgos'!$D$9:$D$108</definedName>
    <definedName name="TipoAnalisis" comment="Tipo de Análisis Cuantitativo Realizado">Menú!$D$1:$D$3</definedName>
    <definedName name="TipoRiesgo" comment="Tipos de Riesgo predeterminados">Menú!$C$1:$C$3</definedName>
    <definedName name="ZonaAnalisis" comment="Zona de Riesgos para Análisis Cuantiativo">'Análisis Cuantitativo'!$9:$108</definedName>
    <definedName name="ZonaResumen" comment="Zona de Riesgos para Resumen y Plan de Acción">'Resumen y Plan de Acción'!$9:$108</definedName>
    <definedName name="ZonaRiesgos" comment="Zona de Captura de Riesgos">'Captura de Riesgos'!$9:$108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8" i="5" l="1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D4" i="5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D3" i="4"/>
  <c r="G16" i="3"/>
  <c r="G15" i="3"/>
  <c r="G14" i="3"/>
  <c r="G13" i="3"/>
  <c r="G12" i="3"/>
  <c r="G11" i="3"/>
  <c r="G10" i="3"/>
  <c r="G9" i="3"/>
  <c r="G8" i="3"/>
  <c r="G7" i="3"/>
  <c r="D3" i="3"/>
</calcChain>
</file>

<file path=xl/sharedStrings.xml><?xml version="1.0" encoding="utf-8"?>
<sst xmlns="http://schemas.openxmlformats.org/spreadsheetml/2006/main" count="322" uniqueCount="155">
  <si>
    <t>Plan de Administración de Riesgos</t>
  </si>
  <si>
    <t xml:space="preserve">Estrategias Sugeridas (Directrices) </t>
  </si>
  <si>
    <t>de Administración de Riesgos para la TIC</t>
  </si>
  <si>
    <t>Riesgo</t>
  </si>
  <si>
    <t>Estrategia de Administración de Riesgos (Definir):</t>
  </si>
  <si>
    <t>Subrepresentación de la muestra en encuestas</t>
  </si>
  <si>
    <t>Integridad y ruido en datos recolectados (spam/duplicados)</t>
  </si>
  <si>
    <t>Falla de infraestructura crítica (equipos de cómputo)</t>
  </si>
  <si>
    <t>Compromiso de privacidad y anonimato de participantes</t>
  </si>
  <si>
    <t>Cuello de botella en ruta crítica – desarrollo Dashboard</t>
  </si>
  <si>
    <t>Baja permisividad institucional para colocar códigos QR</t>
  </si>
  <si>
    <t>Dependencia de plataformas de hosting externas</t>
  </si>
  <si>
    <t>Sesgo en las respuestas por grupos de interés</t>
  </si>
  <si>
    <t>Rotación o baja de un miembro clave del equipo</t>
  </si>
  <si>
    <t>Desajuste en el presupuesto por alza en costo de hardware</t>
  </si>
  <si>
    <t>Falta de validación estadística del instrumento (encuesta)</t>
  </si>
  <si>
    <t>Incumplimiento de plazos en la fase de análisis EDA</t>
  </si>
  <si>
    <t>Pérdida o corrupción de datos durante el proceso ETL</t>
  </si>
  <si>
    <t>Rechazo o baja adopción del dashboard por la administración</t>
  </si>
  <si>
    <t>Conflicto de intereses con concesionarios al publicar resultados</t>
  </si>
  <si>
    <t>Técnicos</t>
  </si>
  <si>
    <t>Primario</t>
  </si>
  <si>
    <t>Análisis de sensibilidad</t>
  </si>
  <si>
    <t>Cualitativo</t>
  </si>
  <si>
    <t>Evitar</t>
  </si>
  <si>
    <t>Activo</t>
  </si>
  <si>
    <t>Alta</t>
  </si>
  <si>
    <t>Calidad</t>
  </si>
  <si>
    <t>Secundario</t>
  </si>
  <si>
    <t>Diagrama de árbol para toma de decisiones</t>
  </si>
  <si>
    <t>Cuantitativo</t>
  </si>
  <si>
    <t>Mitigar</t>
  </si>
  <si>
    <t>Diferido</t>
  </si>
  <si>
    <t>Media</t>
  </si>
  <si>
    <t>Desempeño</t>
  </si>
  <si>
    <t>Residual</t>
  </si>
  <si>
    <t>Método Monte Carlo</t>
  </si>
  <si>
    <t>Ambos</t>
  </si>
  <si>
    <t>Aceptar</t>
  </si>
  <si>
    <t>Cerrado</t>
  </si>
  <si>
    <t>Baja</t>
  </si>
  <si>
    <t>Administración del proyecto</t>
  </si>
  <si>
    <t>Transferir</t>
  </si>
  <si>
    <t>Organizacionales</t>
  </si>
  <si>
    <t>Externos</t>
  </si>
  <si>
    <t>Recursos</t>
  </si>
  <si>
    <t>Presupuesto</t>
  </si>
  <si>
    <t>Complejidad del proyecto</t>
  </si>
  <si>
    <t>Culturales</t>
  </si>
  <si>
    <t>Legales</t>
  </si>
  <si>
    <t>Calendario</t>
  </si>
  <si>
    <t>Proveedores</t>
  </si>
  <si>
    <t xml:space="preserve">Proyecto:   </t>
  </si>
  <si>
    <t>Ingrese la descripción del riesgo, fecha de identificación y la categoría a la que pertenece.</t>
  </si>
  <si>
    <t>ID</t>
  </si>
  <si>
    <t>Fecha de registro</t>
  </si>
  <si>
    <t>Descripción del Riesgo</t>
  </si>
  <si>
    <t>Categoría a la que pertenece</t>
  </si>
  <si>
    <t>Tipo de riesgo</t>
  </si>
  <si>
    <t>Análisis Cualitativo de Riesgos</t>
  </si>
  <si>
    <t>Impacto del Riesgo</t>
  </si>
  <si>
    <t>Probabilidad de Ocurrir</t>
  </si>
  <si>
    <t>Advertencia Avanzada</t>
  </si>
  <si>
    <t>Exposición al Riesgo</t>
  </si>
  <si>
    <t>Tipo de Análisis Cuantitativo Realizado</t>
  </si>
  <si>
    <t>Archivo Adjunto del Análisis Cuantitativo del Riesgo</t>
  </si>
  <si>
    <t>Comentarios</t>
  </si>
  <si>
    <t>N/A</t>
  </si>
  <si>
    <t>Se monitorea el volumen de respuestas semanalmente; meta mínima 100 respuestas.</t>
  </si>
  <si>
    <t>El proceso ETL incluye filtros de duplicados y detección de patrones anómalos.</t>
  </si>
  <si>
    <t>Se contempla uso de equipos personales del equipo como respaldo inmediato.</t>
  </si>
  <si>
    <t>Revisión del formulario previo al lanzamiento para verificar anonimato (LFPDPPP).</t>
  </si>
  <si>
    <t>Cronograma con holgura de 2 días en dashboard; tareas paralelas donde sea posible.</t>
  </si>
  <si>
    <t>Gestión anticipada de permisos con subdirección antes del inicio del levantamiento.</t>
  </si>
  <si>
    <t>Alternativa: Google Forms nativo en caso de fallo del hosting principal.</t>
  </si>
  <si>
    <t>Encuesta anónima y aleatorización de preguntas para reducir sesgo sistemático.</t>
  </si>
  <si>
    <t>Documentación compartida en repositorio GitHub accesible a todo el equipo.</t>
  </si>
  <si>
    <t>Cotizaciones con margen del 10% sobre el presupuesto base de $60,000 MXN.</t>
  </si>
  <si>
    <t>Prueba piloto con 10 participantes antes del despliegue masivo de la encuesta.</t>
  </si>
  <si>
    <t>Reuniones semanales de seguimiento; hitos de control en Semana 6 y Semana 10.</t>
  </si>
  <si>
    <t>Backups diarios en Google Drive; validación de integridad post-ETL con checksums.</t>
  </si>
  <si>
    <t>Sesión de presentación y capacitación del dashboard a la administración de ESCOM.</t>
  </si>
  <si>
    <t>Resultados presentados de forma agregada; no se identifican concesionarios individualmente.</t>
  </si>
  <si>
    <t>Resumen y Plan de Acción del Análisis de Riesgos</t>
  </si>
  <si>
    <t>Tipo de Análisis Aplicado al Riesgo</t>
  </si>
  <si>
    <t>Respuesta al Riesgo</t>
  </si>
  <si>
    <t>Estatus del Riesgo</t>
  </si>
  <si>
    <t>Prioridad del Riesgo</t>
  </si>
  <si>
    <t>Detonador del Riesgo</t>
  </si>
  <si>
    <t>Contingencia al Riesgo</t>
  </si>
  <si>
    <t>Plan de Acción</t>
  </si>
  <si>
    <t>Responsable</t>
  </si>
  <si>
    <t>Bajo volumen de respuestas en primeras semanas</t>
  </si>
  <si>
    <t>Campaña de difusión intensiva vía redes y QR adicionales</t>
  </si>
  <si>
    <t>Si no se alcanza el mínimo, ampliar período de recolección 1 semana adicional.</t>
  </si>
  <si>
    <t>Hernández Anaya Ulises</t>
  </si>
  <si>
    <t>Detección de registros duplicados o respuestas idénticas en lote</t>
  </si>
  <si>
    <t>Scripts ETL de limpieza pre-validados antes del análisis EDA</t>
  </si>
  <si>
    <t>Implementar validación de sesión y límite de 1 respuesta por usuario en el formulario.</t>
  </si>
  <si>
    <t>Palma Pacheco Alan Daniel</t>
  </si>
  <si>
    <t>Falla técnica de uno o más equipos durante la fase de ejecución</t>
  </si>
  <si>
    <t>Almacenamiento en nube (Google Drive) y equipos personales como respaldo</t>
  </si>
  <si>
    <t>Mantener copia del proyecto en GitHub y respaldo diario en nube.</t>
  </si>
  <si>
    <t>Francisco López Carlos Uriel</t>
  </si>
  <si>
    <t>Revisión del formulario revela captura accidental de metadatos identificables</t>
  </si>
  <si>
    <t>Auditoría interna del formulario antes del lanzamiento</t>
  </si>
  <si>
    <t>Validar cumplimiento LFPDPPP; eliminar campos que puedan identificar al usuario.</t>
  </si>
  <si>
    <t>Retrasos en ETL o EDA que compriman el tiempo del dashboard</t>
  </si>
  <si>
    <t>Plantilla base del dashboard pre-construida durante la fase de análisis</t>
  </si>
  <si>
    <t>Asignar dedicación exclusiva del Especialista BI en los últimos 5 días del proyecto.</t>
  </si>
  <si>
    <t>Negativa de la subdirección para colocar material QR en instalaciones</t>
  </si>
  <si>
    <t>Solicitud formal enviada con 2 semanas de anticipación al levantamiento</t>
  </si>
  <si>
    <t>Usar difusión digital (WhatsApp, Telegram, correo institucional) como alternativa.</t>
  </si>
  <si>
    <t>Caída del servicio de hosting durante el período de levantamiento activo</t>
  </si>
  <si>
    <t>Formulario duplicado en Google Forms como respaldo de disponibilidad inmediata</t>
  </si>
  <si>
    <t>Activar el formulario de respaldo en menos de 2 horas ante cualquier caída del servicio.</t>
  </si>
  <si>
    <t>Alta concentración de respuestas de un solo grupo (ej. solo alumnos de un turno)</t>
  </si>
  <si>
    <t>Estrategia de difusión multi-segmento: alumnos, docentes y administrativos</t>
  </si>
  <si>
    <t>Segmentar y analizar respuestas por perfil para detectar sobrerepresentación.</t>
  </si>
  <si>
    <t>Baja o renuncia de un integrante durante la fase de ejecución o cierre</t>
  </si>
  <si>
    <t>Documentación técnica compartida en repositorio accesible a todo el equipo</t>
  </si>
  <si>
    <t>Redistribuir tareas inmediatamente; el PM evalúa impacto en cronograma en 48 horas.</t>
  </si>
  <si>
    <t>Cotizaciones de hardware superen el presupuesto aprobado de $60,000 MXN</t>
  </si>
  <si>
    <t>Margen del 10% reservado; revisión de proveedores alternativos</t>
  </si>
  <si>
    <t>Si el costo supera el margen, elevar solicitud al Sponsor para aprobación adicional.</t>
  </si>
  <si>
    <t>Prueba piloto detecta preguntas ambiguas o reactivos inválidos</t>
  </si>
  <si>
    <t>Revisión por pares del instrumento antes de la prueba piloto</t>
  </si>
  <si>
    <t>Ajustar el instrumento con base en resultados piloto antes del lanzamiento masivo.</t>
  </si>
  <si>
    <t>Retraso en entrega de resultados EDA que afecte la fase de BI</t>
  </si>
  <si>
    <t>Hitos de control en semana 6 y semana 10 para detectar desviaciones a tiempo</t>
  </si>
  <si>
    <t>Si retraso mayor a 3 días, activar modo de trabajo intensivo con el equipo técnico.</t>
  </si>
  <si>
    <t>Error en scripts ETL que genere pérdida o corrupción del dataset</t>
  </si>
  <si>
    <t>Respaldo diario en Google Drive con versionado; validación post-ETL</t>
  </si>
  <si>
    <t>Restaurar desde último respaldo válido; re-ejecutar pipeline desde el punto de fallo.</t>
  </si>
  <si>
    <t>La administración no adopta el dashboard como herramienta de evaluación continua</t>
  </si>
  <si>
    <t>Sesión de presentación y capacitación del dashboard incluida en la fase de cierre</t>
  </si>
  <si>
    <t>Entregar manual de usuario y ofrecer sesión de seguimiento 30 días después del cierre.</t>
  </si>
  <si>
    <t>Presión legal o administrativa de concesionarios al conocer los resultados</t>
  </si>
  <si>
    <t>Resultados presentados de forma agregada y anónima hasta validación institucional</t>
  </si>
  <si>
    <t>Coordinar con subdirección de ESCOM la estrategia de comunicación oficial de resultados.</t>
  </si>
  <si>
    <t>Ejecutar una campaña híbrida (carteles físicos con QR en puntos de alta afluencia y difusión digital). Solicitar a docentes apoyo para invitar a participar durante clases.</t>
  </si>
  <si>
    <t>Implementar validaciones lógicas en el formulario (ej. reCAPTCHA) y programar scripts en el proceso ETL para eliminar duplicados basados en patrones de envío</t>
  </si>
  <si>
    <t>Mantener respaldos diarios del código y de los datos en repositorios seguros en la nube (GitHub, Supabase) para permitir la continuidad del trabajo desde cualquier otro equipo.</t>
  </si>
  <si>
    <t>Auditar el diseño del instrumento de recolección para garantizar que no se soliciten correos ni números de boleta, cumpliendo estrictamente con la LFPDPPP.</t>
  </si>
  <si>
    <r>
      <t xml:space="preserve">Aplicar metodología ágil (Scrum) con </t>
    </r>
    <r>
      <rPr>
        <i/>
        <sz val="11"/>
        <color theme="1"/>
        <rFont val="Calibri"/>
        <family val="2"/>
        <scheme val="minor"/>
      </rPr>
      <t>Daily Standups</t>
    </r>
    <r>
      <rPr>
        <sz val="11"/>
        <color theme="1"/>
        <rFont val="Calibri"/>
        <family val="2"/>
        <scheme val="minor"/>
      </rPr>
      <t xml:space="preserve"> para identificar bloqueos técnicos diarios y priorizar el desarrollo de un Producto Mínimo Viable (MVP).</t>
    </r>
  </si>
  <si>
    <t>Gestionar y firmar un oficio formal de autorización con la Dirección de la ESCOM semanas antes de iniciar la recolección en campo.</t>
  </si>
  <si>
    <t>Utilizar una arquitectura de software agnóstica (ej. uso de contenedores o variables de entorno estándar) para permitir una migración rápida a otro proveedor si el actual presenta caídas.</t>
  </si>
  <si>
    <t>Diseñar preguntas neutrales validadas por un experto y aplicar técnicas estadísticas en el EDA para identificar y separar anomalías o picos inusuales de opinión.</t>
  </si>
  <si>
    <r>
      <t xml:space="preserve">Mantener una documentación técnica exhaustiva (código comentado, diccionarios de datos) y control de versiones para asegurar un </t>
    </r>
    <r>
      <rPr>
        <i/>
        <sz val="11"/>
        <color theme="1"/>
        <rFont val="Calibri"/>
        <family val="2"/>
        <scheme val="minor"/>
      </rPr>
      <t>onboarding</t>
    </r>
    <r>
      <rPr>
        <sz val="11"/>
        <color theme="1"/>
        <rFont val="Calibri"/>
        <family val="2"/>
        <scheme val="minor"/>
      </rPr>
      <t xml:space="preserve"> rápido si alguien debe ser reemplazado.</t>
    </r>
  </si>
  <si>
    <t>Realizar las cotizaciones y compras de los equipos de cómputo (laptops, discos duros) durante las primeras dos semanas del proyecto para "congelar" los precios.</t>
  </si>
  <si>
    <t>Aplicar una prueba piloto de la encuesta a un grupo de control de 20 estudiantes antes de su lanzamiento masivo, ajustando reactivos confusos.</t>
  </si>
  <si>
    <t>Dividir la fase de análisis en Sprints semanales, enfocándose primero en las variables más urgentes (precio e higiene) para garantizar entregables parciales utilizables.</t>
  </si>
  <si>
    <r>
      <t>Configurar respaldos (</t>
    </r>
    <r>
      <rPr>
        <i/>
        <sz val="11"/>
        <color theme="1"/>
        <rFont val="Calibri"/>
        <family val="2"/>
        <scheme val="minor"/>
      </rPr>
      <t>backups</t>
    </r>
    <r>
      <rPr>
        <sz val="11"/>
        <color theme="1"/>
        <rFont val="Calibri"/>
        <family val="2"/>
        <scheme val="minor"/>
      </rPr>
      <t>) automáticos de la base de datos cruda y utilizar control de versiones para todos los scripts de limpieza en Python/SQL.</t>
    </r>
  </si>
  <si>
    <t>Realizar sesiones de demostración tempranas con los usuarios finales (autoridades) para que den retroalimentación del diseño UI/UX antes de finalizar el producto.</t>
  </si>
  <si>
    <t>Garantizar que el manejo del Dashboard sea de uso exclusivo y confidencial para el Patrocinador institucional; no publicar datos crudos al público general sin previa autorización directiva.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</si>
</sst>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right"/>
    </xf>
    <xf numFmtId="0" fontId="1" fillId="0" borderId="2" xfId="0" applyFont="1" applyBorder="1" applyAlignment="1">
      <alignment horizontal="center" textRotation="60"/>
    </xf>
    <xf numFmtId="0" fontId="1" fillId="0" borderId="2" xfId="0" applyFont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0" fillId="0" borderId="1" xfId="0" applyBorder="1" applyAlignment="1">
      <alignment wrapText="1"/>
    </xf>
    <xf numFmtId="1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/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18"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alignment horizontal="center" vertical="bottom" wrapText="1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alignment horizontal="center" vertical="bottom" textRotation="60"/>
    </dxf>
    <dxf>
      <alignment horizontal="center" vertical="center" wrapText="1"/>
    </dxf>
    <dxf>
      <alignment horizontal="center" vertical="center" wrapText="1"/>
    </dxf>
    <dxf>
      <alignment horizontal="center" vertical="center" wrapText="1"/>
    </dxf>
    <dxf>
      <alignment horizontal="center" vertical="center" wrapText="1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alignment horizontal="center" vertical="bottom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autoTitleDeleted val="1"/>
    <c:plotArea>
      <c:layout/>
      <c:bubbleChart>
        <c:varyColors val="0"/>
        <c:ser>
          <c:idx val="0"/>
          <c:order val="0"/>
          <c:tx>
            <c:strRef>
              <c:f>'Análisis Cualitativo'!$C$7</c:f>
              <c:strCache>
                <c:ptCount val="1"/>
                <c:pt idx="0">
                  <c:v>Subrepresentación de la muestra en encuestas</c:v>
                </c:pt>
              </c:strCache>
            </c:strRef>
          </c:tx>
          <c:spPr>
            <a:ln>
              <a:prstDash val="solid"/>
            </a:ln>
          </c:spPr>
          <c:invertIfNegative val="0"/>
          <c:xVal>
            <c:numRef>
              <c:f>'Análisis Cualitativo'!$F$7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'Análisis Cualitativo'!$E$7</c:f>
              <c:numCache>
                <c:formatCode>General</c:formatCode>
                <c:ptCount val="1"/>
                <c:pt idx="0">
                  <c:v>3</c:v>
                </c:pt>
              </c:numCache>
            </c:numRef>
          </c:yVal>
          <c:bubbleSize>
            <c:numRef>
              <c:f>'Análisis Cualitativo'!$D$7</c:f>
              <c:numCache>
                <c:formatCode>General</c:formatCode>
                <c:ptCount val="1"/>
                <c:pt idx="0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60CE-423F-8C44-DD3D8920020F}"/>
            </c:ext>
          </c:extLst>
        </c:ser>
        <c:ser>
          <c:idx val="1"/>
          <c:order val="1"/>
          <c:tx>
            <c:strRef>
              <c:f>'Análisis Cualitativo'!$C$8</c:f>
              <c:strCache>
                <c:ptCount val="1"/>
                <c:pt idx="0">
                  <c:v>Integridad y ruido en datos recolectados (spam/duplicados)</c:v>
                </c:pt>
              </c:strCache>
            </c:strRef>
          </c:tx>
          <c:spPr>
            <a:ln>
              <a:prstDash val="solid"/>
            </a:ln>
          </c:spPr>
          <c:invertIfNegative val="0"/>
          <c:xVal>
            <c:numRef>
              <c:f>'Análisis Cualitativo'!$F$8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'Análisis Cualitativo'!$E$8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bubbleSize>
            <c:numRef>
              <c:f>'Análisis Cualitativo'!$D$8</c:f>
              <c:numCache>
                <c:formatCode>General</c:formatCode>
                <c:ptCount val="1"/>
                <c:pt idx="0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60CE-423F-8C44-DD3D8920020F}"/>
            </c:ext>
          </c:extLst>
        </c:ser>
        <c:ser>
          <c:idx val="2"/>
          <c:order val="2"/>
          <c:tx>
            <c:strRef>
              <c:f>'Análisis Cualitativo'!$C$9</c:f>
              <c:strCache>
                <c:ptCount val="1"/>
                <c:pt idx="0">
                  <c:v>Falla de infraestructura crítica (equipos de cómputo)</c:v>
                </c:pt>
              </c:strCache>
            </c:strRef>
          </c:tx>
          <c:spPr>
            <a:ln>
              <a:prstDash val="solid"/>
            </a:ln>
          </c:spPr>
          <c:invertIfNegative val="0"/>
          <c:xVal>
            <c:numRef>
              <c:f>'Análisis Cualitativo'!$F$9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'Análisis Cualitativo'!$E$9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bubbleSize>
            <c:numRef>
              <c:f>'Análisis Cualitativo'!$D$9</c:f>
              <c:numCache>
                <c:formatCode>General</c:formatCode>
                <c:ptCount val="1"/>
                <c:pt idx="0">
                  <c:v>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60CE-423F-8C44-DD3D8920020F}"/>
            </c:ext>
          </c:extLst>
        </c:ser>
        <c:ser>
          <c:idx val="3"/>
          <c:order val="3"/>
          <c:tx>
            <c:strRef>
              <c:f>'Análisis Cualitativo'!$C$10</c:f>
              <c:strCache>
                <c:ptCount val="1"/>
                <c:pt idx="0">
                  <c:v>Compromiso de privacidad y anonimato de participantes</c:v>
                </c:pt>
              </c:strCache>
            </c:strRef>
          </c:tx>
          <c:spPr>
            <a:ln>
              <a:prstDash val="solid"/>
            </a:ln>
          </c:spPr>
          <c:invertIfNegative val="0"/>
          <c:xVal>
            <c:numRef>
              <c:f>'Análisis Cualitativo'!$F$10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'Análisis Cualitativo'!$E$10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bubbleSize>
            <c:numRef>
              <c:f>'Análisis Cualitativo'!$D$10</c:f>
              <c:numCache>
                <c:formatCode>General</c:formatCode>
                <c:ptCount val="1"/>
                <c:pt idx="0">
                  <c:v>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60CE-423F-8C44-DD3D8920020F}"/>
            </c:ext>
          </c:extLst>
        </c:ser>
        <c:ser>
          <c:idx val="4"/>
          <c:order val="4"/>
          <c:tx>
            <c:strRef>
              <c:f>'Análisis Cualitativo'!$C$11</c:f>
              <c:strCache>
                <c:ptCount val="1"/>
                <c:pt idx="0">
                  <c:v>Cuello de botella en ruta crítica – desarrollo Dashboard</c:v>
                </c:pt>
              </c:strCache>
            </c:strRef>
          </c:tx>
          <c:spPr>
            <a:ln>
              <a:prstDash val="solid"/>
            </a:ln>
          </c:spPr>
          <c:invertIfNegative val="0"/>
          <c:xVal>
            <c:numRef>
              <c:f>'Análisis Cualitativo'!$F$11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'Análisis Cualitativo'!$E$11</c:f>
              <c:numCache>
                <c:formatCode>General</c:formatCode>
                <c:ptCount val="1"/>
                <c:pt idx="0">
                  <c:v>3</c:v>
                </c:pt>
              </c:numCache>
            </c:numRef>
          </c:yVal>
          <c:bubbleSize>
            <c:numRef>
              <c:f>'Análisis Cualitativo'!$D$11</c:f>
              <c:numCache>
                <c:formatCode>General</c:formatCode>
                <c:ptCount val="1"/>
                <c:pt idx="0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4-60CE-423F-8C44-DD3D8920020F}"/>
            </c:ext>
          </c:extLst>
        </c:ser>
        <c:ser>
          <c:idx val="5"/>
          <c:order val="5"/>
          <c:tx>
            <c:strRef>
              <c:f>'Análisis Cualitativo'!$C$12</c:f>
              <c:strCache>
                <c:ptCount val="1"/>
                <c:pt idx="0">
                  <c:v>Baja permisividad institucional para colocar códigos QR</c:v>
                </c:pt>
              </c:strCache>
            </c:strRef>
          </c:tx>
          <c:spPr>
            <a:ln>
              <a:prstDash val="solid"/>
            </a:ln>
          </c:spPr>
          <c:invertIfNegative val="0"/>
          <c:xVal>
            <c:numRef>
              <c:f>'Análisis Cualitativo'!$F$12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'Análisis Cualitativo'!$E$12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bubbleSize>
            <c:numRef>
              <c:f>'Análisis Cualitativo'!$D$12</c:f>
              <c:numCache>
                <c:formatCode>General</c:formatCode>
                <c:ptCount val="1"/>
                <c:pt idx="0">
                  <c:v>3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60CE-423F-8C44-DD3D8920020F}"/>
            </c:ext>
          </c:extLst>
        </c:ser>
        <c:ser>
          <c:idx val="6"/>
          <c:order val="6"/>
          <c:tx>
            <c:strRef>
              <c:f>'Análisis Cualitativo'!$C$13</c:f>
              <c:strCache>
                <c:ptCount val="1"/>
                <c:pt idx="0">
                  <c:v>Dependencia de plataformas de hosting externas</c:v>
                </c:pt>
              </c:strCache>
            </c:strRef>
          </c:tx>
          <c:spPr>
            <a:ln>
              <a:prstDash val="solid"/>
            </a:ln>
          </c:spPr>
          <c:invertIfNegative val="0"/>
          <c:xVal>
            <c:numRef>
              <c:f>'Análisis Cualitativo'!$F$13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'Análisis Cualitativo'!$E$13</c:f>
              <c:numCache>
                <c:formatCode>General</c:formatCode>
                <c:ptCount val="1"/>
                <c:pt idx="0">
                  <c:v>3</c:v>
                </c:pt>
              </c:numCache>
            </c:numRef>
          </c:yVal>
          <c:bubbleSize>
            <c:numRef>
              <c:f>'Análisis Cualitativo'!$D$13</c:f>
              <c:numCache>
                <c:formatCode>General</c:formatCode>
                <c:ptCount val="1"/>
                <c:pt idx="0">
                  <c:v>3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6-60CE-423F-8C44-DD3D8920020F}"/>
            </c:ext>
          </c:extLst>
        </c:ser>
        <c:ser>
          <c:idx val="7"/>
          <c:order val="7"/>
          <c:tx>
            <c:strRef>
              <c:f>'Análisis Cualitativo'!$C$14</c:f>
              <c:strCache>
                <c:ptCount val="1"/>
                <c:pt idx="0">
                  <c:v>Sesgo en las respuestas por grupos de interés</c:v>
                </c:pt>
              </c:strCache>
            </c:strRef>
          </c:tx>
          <c:spPr>
            <a:ln>
              <a:prstDash val="solid"/>
            </a:ln>
          </c:spPr>
          <c:invertIfNegative val="0"/>
          <c:xVal>
            <c:numRef>
              <c:f>'Análisis Cualitativo'!$F$14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'Análisis Cualitativo'!$E$14</c:f>
              <c:numCache>
                <c:formatCode>General</c:formatCode>
                <c:ptCount val="1"/>
                <c:pt idx="0">
                  <c:v>3</c:v>
                </c:pt>
              </c:numCache>
            </c:numRef>
          </c:yVal>
          <c:bubbleSize>
            <c:numRef>
              <c:f>'Análisis Cualitativo'!$D$14</c:f>
              <c:numCache>
                <c:formatCode>General</c:formatCode>
                <c:ptCount val="1"/>
                <c:pt idx="0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60CE-423F-8C44-DD3D8920020F}"/>
            </c:ext>
          </c:extLst>
        </c:ser>
        <c:ser>
          <c:idx val="8"/>
          <c:order val="8"/>
          <c:tx>
            <c:strRef>
              <c:f>'Análisis Cualitativo'!$C$15</c:f>
              <c:strCache>
                <c:ptCount val="1"/>
                <c:pt idx="0">
                  <c:v>Rotación o baja de un miembro clave del equipo</c:v>
                </c:pt>
              </c:strCache>
            </c:strRef>
          </c:tx>
          <c:spPr>
            <a:ln>
              <a:prstDash val="solid"/>
            </a:ln>
          </c:spPr>
          <c:invertIfNegative val="0"/>
          <c:xVal>
            <c:numRef>
              <c:f>'Análisis Cualitativo'!$F$15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'Análisis Cualitativo'!$E$15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bubbleSize>
            <c:numRef>
              <c:f>'Análisis Cualitativo'!$D$15</c:f>
              <c:numCache>
                <c:formatCode>General</c:formatCode>
                <c:ptCount val="1"/>
                <c:pt idx="0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8-60CE-423F-8C44-DD3D8920020F}"/>
            </c:ext>
          </c:extLst>
        </c:ser>
        <c:ser>
          <c:idx val="9"/>
          <c:order val="9"/>
          <c:tx>
            <c:strRef>
              <c:f>'Análisis Cualitativo'!$C$16</c:f>
              <c:strCache>
                <c:ptCount val="1"/>
                <c:pt idx="0">
                  <c:v>Desajuste en el presupuesto por alza en costo de hardware</c:v>
                </c:pt>
              </c:strCache>
            </c:strRef>
          </c:tx>
          <c:spPr>
            <a:ln>
              <a:prstDash val="solid"/>
            </a:ln>
          </c:spPr>
          <c:invertIfNegative val="0"/>
          <c:xVal>
            <c:numRef>
              <c:f>'Análisis Cualitativo'!$F$16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'Análisis Cualitativo'!$E$16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bubbleSize>
            <c:numRef>
              <c:f>'Análisis Cualitativo'!$D$16</c:f>
              <c:numCache>
                <c:formatCode>General</c:formatCode>
                <c:ptCount val="1"/>
                <c:pt idx="0">
                  <c:v>3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60CE-423F-8C44-DD3D89200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26410752"/>
        <c:axId val="126412672"/>
      </c:bubbleChart>
      <c:valAx>
        <c:axId val="126410752"/>
        <c:scaling>
          <c:orientation val="minMax"/>
          <c:max val="6"/>
          <c:min val="0"/>
        </c:scaling>
        <c:delete val="0"/>
        <c:axPos val="b"/>
        <c:majorGridlines>
          <c:spPr>
            <a:ln cap="rnd"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Baja		Advertencia avanzada		Alta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412672"/>
        <c:crosses val="max"/>
        <c:crossBetween val="midCat"/>
        <c:majorUnit val="1"/>
        <c:minorUnit val="0.2"/>
      </c:valAx>
      <c:valAx>
        <c:axId val="126412672"/>
        <c:scaling>
          <c:orientation val="maxMin"/>
          <c:max val="6"/>
        </c:scaling>
        <c:delete val="0"/>
        <c:axPos val="l"/>
        <c:majorGridlines>
          <c:spPr>
            <a:ln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/>
                  <a:t>Alta	Probabilidad de Ocurrir	Baja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410752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1"/>
  </c:chart>
  <c:spPr>
    <a:noFill/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620486</xdr:colOff>
          <xdr:row>5</xdr:row>
          <xdr:rowOff>10886</xdr:rowOff>
        </xdr:from>
        <xdr:to>
          <xdr:col>6</xdr:col>
          <xdr:colOff>620486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6B31E7C-F04A-F1BF-1234-525075E8A1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Captura de Riesgos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620486</xdr:colOff>
          <xdr:row>7</xdr:row>
          <xdr:rowOff>10886</xdr:rowOff>
        </xdr:from>
        <xdr:to>
          <xdr:col>6</xdr:col>
          <xdr:colOff>620486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D29563C-15F1-5CCA-D466-F856CBA293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Cualitativo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620486</xdr:colOff>
          <xdr:row>9</xdr:row>
          <xdr:rowOff>0</xdr:rowOff>
        </xdr:from>
        <xdr:to>
          <xdr:col>6</xdr:col>
          <xdr:colOff>620486</xdr:colOff>
          <xdr:row>10</xdr:row>
          <xdr:rowOff>146957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DB93493-9B6C-B430-1C08-AB873B26D5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Cuantitativo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620486</xdr:colOff>
          <xdr:row>10</xdr:row>
          <xdr:rowOff>146957</xdr:rowOff>
        </xdr:from>
        <xdr:to>
          <xdr:col>6</xdr:col>
          <xdr:colOff>620486</xdr:colOff>
          <xdr:row>12</xdr:row>
          <xdr:rowOff>141514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5E21DDDF-12CB-1350-98E9-9320AA105E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Resumen y</a:t>
              </a:r>
            </a:p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Plan de Acción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620486</xdr:colOff>
          <xdr:row>12</xdr:row>
          <xdr:rowOff>141514</xdr:rowOff>
        </xdr:from>
        <xdr:to>
          <xdr:col>6</xdr:col>
          <xdr:colOff>620486</xdr:colOff>
          <xdr:row>14</xdr:row>
          <xdr:rowOff>146957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37EBB988-6328-BEF5-F1F4-009D8CF0EA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Estrategias Sugeridas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255814</xdr:colOff>
          <xdr:row>4</xdr:row>
          <xdr:rowOff>16329</xdr:rowOff>
        </xdr:from>
        <xdr:to>
          <xdr:col>5</xdr:col>
          <xdr:colOff>876300</xdr:colOff>
          <xdr:row>5</xdr:row>
          <xdr:rowOff>65314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736C3580-0248-ED36-FE16-CB9A737D2B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5</xdr:row>
          <xdr:rowOff>125186</xdr:rowOff>
        </xdr:from>
        <xdr:to>
          <xdr:col>6</xdr:col>
          <xdr:colOff>0</xdr:colOff>
          <xdr:row>6</xdr:row>
          <xdr:rowOff>141514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46E67D93-D97A-4231-B493-6F1F7EF5E3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número de Riesgos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17</xdr:row>
      <xdr:rowOff>123825</xdr:rowOff>
    </xdr:from>
    <xdr:to>
      <xdr:col>6</xdr:col>
      <xdr:colOff>2600324</xdr:colOff>
      <xdr:row>30</xdr:row>
      <xdr:rowOff>1952625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1643743</xdr:colOff>
          <xdr:row>3</xdr:row>
          <xdr:rowOff>81643</xdr:rowOff>
        </xdr:from>
        <xdr:to>
          <xdr:col>6</xdr:col>
          <xdr:colOff>2264229</xdr:colOff>
          <xdr:row>4</xdr:row>
          <xdr:rowOff>130629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E41414F3-DCE2-A4CB-9228-68E5B92B2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1812471</xdr:colOff>
          <xdr:row>5</xdr:row>
          <xdr:rowOff>81643</xdr:rowOff>
        </xdr:from>
        <xdr:to>
          <xdr:col>6</xdr:col>
          <xdr:colOff>0</xdr:colOff>
          <xdr:row>6</xdr:row>
          <xdr:rowOff>130629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27BD0487-0DC6-95BD-2F2B-8F7794D426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5</xdr:row>
          <xdr:rowOff>32657</xdr:rowOff>
        </xdr:from>
        <xdr:to>
          <xdr:col>10</xdr:col>
          <xdr:colOff>810986</xdr:colOff>
          <xdr:row>6</xdr:row>
          <xdr:rowOff>81643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8F7BF72A-84EF-3C4D-5E80-90CB487828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3722914</xdr:colOff>
          <xdr:row>5</xdr:row>
          <xdr:rowOff>76200</xdr:rowOff>
        </xdr:from>
        <xdr:to>
          <xdr:col>2</xdr:col>
          <xdr:colOff>4343400</xdr:colOff>
          <xdr:row>6</xdr:row>
          <xdr:rowOff>125186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23F7037E-4764-C746-424F-BA138707DF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4" displayName="Tabla4" ref="B8:F108" totalsRowShown="0" headerRowDxfId="16">
  <tableColumns count="5">
    <tableColumn id="1" xr3:uid="{00000000-0010-0000-0000-000001000000}" name="ID" dataDxfId="15"/>
    <tableColumn id="2" xr3:uid="{00000000-0010-0000-0000-000002000000}" name="Fecha de registro" dataDxfId="14"/>
    <tableColumn id="3" xr3:uid="{00000000-0010-0000-0000-000003000000}" name="Descripción del Riesgo" dataDxfId="13"/>
    <tableColumn id="4" xr3:uid="{00000000-0010-0000-0000-000004000000}" name="Categoría a la que pertenece" dataDxfId="12"/>
    <tableColumn id="5" xr3:uid="{00000000-0010-0000-0000-000005000000}" name="Tipo de riesgo" dataDxfId="1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5" displayName="Tabla5" ref="B6:G16" totalsRowShown="0" headerRowDxfId="10">
  <tableColumns count="6">
    <tableColumn id="1" xr3:uid="{00000000-0010-0000-0100-000001000000}" name="ID" dataDxfId="9"/>
    <tableColumn id="2" xr3:uid="{00000000-0010-0000-0100-000002000000}" name="Descripción del Riesgo" dataDxfId="8"/>
    <tableColumn id="3" xr3:uid="{00000000-0010-0000-0100-000003000000}" name="Impacto del Riesgo" dataDxfId="7"/>
    <tableColumn id="4" xr3:uid="{00000000-0010-0000-0100-000004000000}" name="Probabilidad de Ocurrir" dataDxfId="6"/>
    <tableColumn id="5" xr3:uid="{00000000-0010-0000-0100-000005000000}" name="Advertencia Avanzada" dataDxfId="5"/>
    <tableColumn id="6" xr3:uid="{00000000-0010-0000-0100-000006000000}" name="Exposición al Riesgo" dataDxfId="4">
      <calculatedColumnFormula>IF(AND(D7&lt;&gt;"",E7&lt;&gt;""),D7*E7,"")</calculatedColumnFormula>
    </tableColumn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2" displayName="Tabla2" ref="B8:F108" totalsRowShown="0" headerRowDxfId="3">
  <tableColumns count="5">
    <tableColumn id="1" xr3:uid="{00000000-0010-0000-0200-000001000000}" name="ID" dataDxfId="2"/>
    <tableColumn id="2" xr3:uid="{00000000-0010-0000-0200-000002000000}" name="Descripción del Riesgo">
      <calculatedColumnFormula>IF('Captura de Riesgos'!D9="","",'Captura de Riesgos'!D9)</calculatedColumnFormula>
    </tableColumn>
    <tableColumn id="3" xr3:uid="{00000000-0010-0000-0200-000003000000}" name="Tipo de Análisis Cuantitativo Realizado"/>
    <tableColumn id="4" xr3:uid="{00000000-0010-0000-0200-000004000000}" name="Archivo Adjunto del Análisis Cuantitativo del Riesgo"/>
    <tableColumn id="5" xr3:uid="{00000000-0010-0000-0200-000005000000}" name="Comentarios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3" displayName="Tabla3" ref="B8:K108" totalsRowShown="0" headerRowDxfId="1">
  <tableColumns count="10">
    <tableColumn id="1" xr3:uid="{00000000-0010-0000-0300-000001000000}" name="ID" dataDxfId="0"/>
    <tableColumn id="2" xr3:uid="{00000000-0010-0000-0300-000002000000}" name="Descripción del Riesgo">
      <calculatedColumnFormula>IF('Captura de Riesgos'!D9="","",'Captura de Riesgos'!D9)</calculatedColumnFormula>
    </tableColumn>
    <tableColumn id="3" xr3:uid="{00000000-0010-0000-0300-000003000000}" name="Tipo de Análisis Aplicado al Riesgo"/>
    <tableColumn id="4" xr3:uid="{00000000-0010-0000-0300-000004000000}" name="Respuesta al Riesgo"/>
    <tableColumn id="5" xr3:uid="{00000000-0010-0000-0300-000005000000}" name="Estatus del Riesgo"/>
    <tableColumn id="6" xr3:uid="{00000000-0010-0000-0300-000006000000}" name="Prioridad del Riesgo"/>
    <tableColumn id="7" xr3:uid="{00000000-0010-0000-0300-000007000000}" name="Detonador del Riesgo"/>
    <tableColumn id="8" xr3:uid="{00000000-0010-0000-0300-000008000000}" name="Contingencia al Riesgo"/>
    <tableColumn id="9" xr3:uid="{00000000-0010-0000-0300-000009000000}" name="Plan de Acción"/>
    <tableColumn id="10" xr3:uid="{00000000-0010-0000-0300-00000A000000}" name="Responsable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1" displayName="Tabla1" ref="B8:C26" totalsRowShown="0" headerRowDxfId="17">
  <tableColumns count="2">
    <tableColumn id="1" xr3:uid="{00000000-0010-0000-0400-000001000000}" name="Riesgo"/>
    <tableColumn id="2" xr3:uid="{00000000-0010-0000-0400-000002000000}" name="Estrategia de Administración de Riesgos (Definir):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5"/>
  </sheetPr>
  <dimension ref="A1:L24"/>
  <sheetViews>
    <sheetView showGridLines="0" showRowColHeaders="0" topLeftCell="A3" workbookViewId="0"/>
  </sheetViews>
  <sheetFormatPr baseColWidth="10" defaultColWidth="0" defaultRowHeight="14.6" zeroHeight="1" x14ac:dyDescent="0.4"/>
  <cols>
    <col min="1" max="11" width="11.4609375" customWidth="1"/>
    <col min="12" max="12" width="6.53515625" customWidth="1"/>
    <col min="13" max="13" width="11.4609375" hidden="1" customWidth="1"/>
    <col min="14" max="16384" width="11.4609375" hidden="1"/>
  </cols>
  <sheetData>
    <row r="1" spans="1:12" ht="25" customHeight="1" x14ac:dyDescent="0.4">
      <c r="A1" s="12">
        <v>1</v>
      </c>
      <c r="B1" s="13" t="s">
        <v>20</v>
      </c>
      <c r="C1" s="13" t="s">
        <v>21</v>
      </c>
      <c r="D1" s="14" t="s">
        <v>22</v>
      </c>
      <c r="E1" s="12" t="s">
        <v>23</v>
      </c>
      <c r="F1" s="12" t="s">
        <v>24</v>
      </c>
      <c r="G1" s="12" t="s">
        <v>25</v>
      </c>
      <c r="H1" s="12" t="s">
        <v>26</v>
      </c>
      <c r="I1" s="12">
        <v>0</v>
      </c>
      <c r="J1" s="12">
        <v>1</v>
      </c>
      <c r="K1" s="12"/>
      <c r="L1" s="12"/>
    </row>
    <row r="2" spans="1:12" ht="50.05" customHeight="1" x14ac:dyDescent="0.4">
      <c r="A2" s="12"/>
      <c r="B2" s="13" t="s">
        <v>27</v>
      </c>
      <c r="C2" s="13" t="s">
        <v>28</v>
      </c>
      <c r="D2" s="14" t="s">
        <v>29</v>
      </c>
      <c r="E2" s="12" t="s">
        <v>30</v>
      </c>
      <c r="F2" s="12" t="s">
        <v>31</v>
      </c>
      <c r="G2" s="12" t="s">
        <v>32</v>
      </c>
      <c r="H2" s="12" t="s">
        <v>33</v>
      </c>
      <c r="I2" s="12">
        <v>1</v>
      </c>
      <c r="J2" s="12">
        <v>2</v>
      </c>
      <c r="K2" s="12"/>
      <c r="L2" s="12"/>
    </row>
    <row r="3" spans="1:12" ht="25" customHeight="1" x14ac:dyDescent="0.4">
      <c r="A3" s="12"/>
      <c r="B3" s="13" t="s">
        <v>34</v>
      </c>
      <c r="C3" s="13" t="s">
        <v>35</v>
      </c>
      <c r="D3" s="14" t="s">
        <v>36</v>
      </c>
      <c r="E3" s="12" t="s">
        <v>37</v>
      </c>
      <c r="F3" s="12" t="s">
        <v>38</v>
      </c>
      <c r="G3" s="12" t="s">
        <v>39</v>
      </c>
      <c r="H3" s="12" t="s">
        <v>40</v>
      </c>
      <c r="I3" s="12">
        <v>2</v>
      </c>
      <c r="J3" s="12">
        <v>3</v>
      </c>
      <c r="K3" s="12"/>
      <c r="L3" s="12"/>
    </row>
    <row r="4" spans="1:12" x14ac:dyDescent="0.4">
      <c r="A4" s="12"/>
      <c r="B4" s="13" t="s">
        <v>41</v>
      </c>
      <c r="C4" s="12"/>
      <c r="D4" s="12"/>
      <c r="E4" s="12"/>
      <c r="F4" s="12" t="s">
        <v>42</v>
      </c>
      <c r="G4" s="12"/>
      <c r="H4" s="12"/>
      <c r="I4" s="12">
        <v>3</v>
      </c>
      <c r="J4" s="12">
        <v>4</v>
      </c>
      <c r="K4" s="12"/>
      <c r="L4" s="12"/>
    </row>
    <row r="5" spans="1:12" x14ac:dyDescent="0.4">
      <c r="A5" s="12"/>
      <c r="B5" s="13" t="s">
        <v>43</v>
      </c>
      <c r="C5" s="12"/>
      <c r="D5" s="12"/>
      <c r="E5" s="12"/>
      <c r="F5" s="12"/>
      <c r="G5" s="12"/>
      <c r="H5" s="12"/>
      <c r="I5" s="12">
        <v>4</v>
      </c>
      <c r="J5" s="12">
        <v>5</v>
      </c>
      <c r="K5" s="12"/>
      <c r="L5" s="12"/>
    </row>
    <row r="6" spans="1:12" x14ac:dyDescent="0.4">
      <c r="A6" s="12"/>
      <c r="B6" s="13" t="s">
        <v>44</v>
      </c>
      <c r="C6" s="12"/>
      <c r="D6" s="12"/>
      <c r="E6" s="12"/>
      <c r="F6" s="12"/>
      <c r="G6" s="12"/>
      <c r="H6" s="12"/>
      <c r="I6" s="12">
        <v>5</v>
      </c>
      <c r="J6" s="12"/>
      <c r="K6" s="12"/>
      <c r="L6" s="12"/>
    </row>
    <row r="7" spans="1:12" x14ac:dyDescent="0.4">
      <c r="A7" s="12"/>
      <c r="B7" s="13" t="s">
        <v>45</v>
      </c>
      <c r="C7" s="12"/>
      <c r="D7" s="12"/>
      <c r="E7" s="12"/>
      <c r="F7" s="12"/>
      <c r="G7" s="12"/>
      <c r="H7" s="12"/>
      <c r="I7" s="12"/>
      <c r="J7" s="12"/>
      <c r="K7" s="12"/>
      <c r="L7" s="12"/>
    </row>
    <row r="8" spans="1:12" x14ac:dyDescent="0.4">
      <c r="A8" s="12"/>
      <c r="B8" s="13" t="s">
        <v>46</v>
      </c>
      <c r="C8" s="12"/>
      <c r="D8" s="12"/>
      <c r="E8" s="12"/>
      <c r="F8" s="12"/>
      <c r="G8" s="12"/>
      <c r="H8" s="12"/>
      <c r="I8" s="12"/>
      <c r="J8" s="12"/>
      <c r="K8" s="12"/>
      <c r="L8" s="12"/>
    </row>
    <row r="9" spans="1:12" x14ac:dyDescent="0.4">
      <c r="A9" s="12"/>
      <c r="B9" s="13" t="s">
        <v>47</v>
      </c>
      <c r="C9" s="12"/>
      <c r="D9" s="12"/>
      <c r="E9" s="12"/>
      <c r="F9" s="12"/>
      <c r="G9" s="12"/>
      <c r="H9" s="12"/>
      <c r="I9" s="12"/>
      <c r="J9" s="12"/>
      <c r="K9" s="12"/>
      <c r="L9" s="12"/>
    </row>
    <row r="10" spans="1:12" x14ac:dyDescent="0.4">
      <c r="A10" s="12"/>
      <c r="B10" s="13" t="s">
        <v>48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</row>
    <row r="11" spans="1:12" x14ac:dyDescent="0.4">
      <c r="A11" s="12"/>
      <c r="B11" s="13" t="s">
        <v>49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</row>
    <row r="12" spans="1:12" x14ac:dyDescent="0.4">
      <c r="A12" s="12"/>
      <c r="B12" s="13" t="s">
        <v>50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</row>
    <row r="13" spans="1:12" x14ac:dyDescent="0.4">
      <c r="A13" s="12"/>
      <c r="B13" s="13" t="s">
        <v>51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</row>
    <row r="14" spans="1:12" x14ac:dyDescent="0.4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</row>
    <row r="15" spans="1:12" x14ac:dyDescent="0.4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1:12" x14ac:dyDescent="0.4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2" x14ac:dyDescent="0.4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</row>
    <row r="18" spans="1:12" x14ac:dyDescent="0.4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1:12" x14ac:dyDescent="0.4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</row>
    <row r="20" spans="1:12" x14ac:dyDescent="0.4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 x14ac:dyDescent="0.4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</row>
    <row r="22" spans="1:12" x14ac:dyDescent="0.4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 x14ac:dyDescent="0.4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</row>
    <row r="24" spans="1:12" ht="18" customHeight="1" x14ac:dyDescent="0.4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pturaRiesgos">
                <anchor moveWithCells="1" sizeWithCells="1">
                  <from>
                    <xdr:col>4</xdr:col>
                    <xdr:colOff>620486</xdr:colOff>
                    <xdr:row>5</xdr:row>
                    <xdr:rowOff>10886</xdr:rowOff>
                  </from>
                  <to>
                    <xdr:col>6</xdr:col>
                    <xdr:colOff>620486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ualitativo">
                <anchor moveWithCells="1" sizeWithCells="1">
                  <from>
                    <xdr:col>4</xdr:col>
                    <xdr:colOff>620486</xdr:colOff>
                    <xdr:row>7</xdr:row>
                    <xdr:rowOff>10886</xdr:rowOff>
                  </from>
                  <to>
                    <xdr:col>6</xdr:col>
                    <xdr:colOff>620486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uantitativo">
                <anchor moveWithCells="1" sizeWithCells="1">
                  <from>
                    <xdr:col>4</xdr:col>
                    <xdr:colOff>620486</xdr:colOff>
                    <xdr:row>9</xdr:row>
                    <xdr:rowOff>0</xdr:rowOff>
                  </from>
                  <to>
                    <xdr:col>6</xdr:col>
                    <xdr:colOff>620486</xdr:colOff>
                    <xdr:row>10</xdr:row>
                    <xdr:rowOff>146957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lan">
                <anchor moveWithCells="1" sizeWithCells="1">
                  <from>
                    <xdr:col>4</xdr:col>
                    <xdr:colOff>620486</xdr:colOff>
                    <xdr:row>10</xdr:row>
                    <xdr:rowOff>146957</xdr:rowOff>
                  </from>
                  <to>
                    <xdr:col>6</xdr:col>
                    <xdr:colOff>620486</xdr:colOff>
                    <xdr:row>12</xdr:row>
                    <xdr:rowOff>141514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Estrategias">
                <anchor moveWithCells="1" sizeWithCells="1">
                  <from>
                    <xdr:col>4</xdr:col>
                    <xdr:colOff>620486</xdr:colOff>
                    <xdr:row>12</xdr:row>
                    <xdr:rowOff>141514</xdr:rowOff>
                  </from>
                  <to>
                    <xdr:col>6</xdr:col>
                    <xdr:colOff>620486</xdr:colOff>
                    <xdr:row>14</xdr:row>
                    <xdr:rowOff>146957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3"/>
  </sheetPr>
  <dimension ref="A1:G108"/>
  <sheetViews>
    <sheetView showGridLines="0" showRowColHeaders="0" topLeftCell="A6" workbookViewId="0">
      <selection activeCell="D4" sqref="D4"/>
    </sheetView>
  </sheetViews>
  <sheetFormatPr baseColWidth="10" defaultColWidth="0" defaultRowHeight="14.6" zeroHeight="1" x14ac:dyDescent="0.4"/>
  <cols>
    <col min="1" max="1" width="1.69140625" customWidth="1"/>
    <col min="2" max="2" width="8.53515625" customWidth="1"/>
    <col min="3" max="3" width="18.23046875" style="1" customWidth="1"/>
    <col min="4" max="4" width="46.4609375" style="1" customWidth="1"/>
    <col min="5" max="5" width="28.4609375" style="1" customWidth="1"/>
    <col min="6" max="6" width="15.53515625" style="1" customWidth="1"/>
    <col min="7" max="7" width="1.69140625" customWidth="1"/>
    <col min="8" max="8" width="11.4609375" hidden="1" customWidth="1"/>
    <col min="9" max="16384" width="11.4609375" hidden="1"/>
  </cols>
  <sheetData>
    <row r="1" spans="1:6" x14ac:dyDescent="0.4">
      <c r="A1" s="12">
        <v>1</v>
      </c>
      <c r="B1" s="12">
        <v>15</v>
      </c>
    </row>
    <row r="2" spans="1:6" ht="21" customHeight="1" x14ac:dyDescent="0.55000000000000004">
      <c r="C2" s="20" t="s">
        <v>0</v>
      </c>
      <c r="D2" s="23"/>
      <c r="E2" s="23"/>
      <c r="F2" s="23"/>
    </row>
    <row r="3" spans="1:6" ht="18.55" customHeight="1" x14ac:dyDescent="0.4">
      <c r="C3" s="15" t="s">
        <v>52</v>
      </c>
      <c r="D3" s="24"/>
      <c r="E3" s="23"/>
    </row>
    <row r="4" spans="1:6" x14ac:dyDescent="0.4"/>
    <row r="5" spans="1:6" x14ac:dyDescent="0.4"/>
    <row r="6" spans="1:6" x14ac:dyDescent="0.4"/>
    <row r="7" spans="1:6" x14ac:dyDescent="0.4">
      <c r="B7" s="2" t="s">
        <v>53</v>
      </c>
    </row>
    <row r="8" spans="1:6" s="1" customFormat="1" ht="43.5" customHeight="1" x14ac:dyDescent="0.4">
      <c r="B8" s="7" t="s">
        <v>54</v>
      </c>
      <c r="C8" s="7" t="s">
        <v>55</v>
      </c>
      <c r="D8" s="7" t="s">
        <v>56</v>
      </c>
      <c r="E8" s="7" t="s">
        <v>57</v>
      </c>
      <c r="F8" s="7" t="s">
        <v>58</v>
      </c>
    </row>
    <row r="9" spans="1:6" x14ac:dyDescent="0.4">
      <c r="B9" s="4">
        <v>1</v>
      </c>
      <c r="C9" s="18">
        <v>46062</v>
      </c>
      <c r="D9" s="1" t="s">
        <v>5</v>
      </c>
      <c r="E9" s="1" t="s">
        <v>27</v>
      </c>
      <c r="F9" s="1" t="s">
        <v>21</v>
      </c>
    </row>
    <row r="10" spans="1:6" ht="29.15" x14ac:dyDescent="0.4">
      <c r="B10" s="4">
        <v>2</v>
      </c>
      <c r="C10" s="19">
        <v>46062</v>
      </c>
      <c r="D10" s="1" t="s">
        <v>6</v>
      </c>
      <c r="E10" s="1" t="s">
        <v>20</v>
      </c>
      <c r="F10" s="1" t="s">
        <v>21</v>
      </c>
    </row>
    <row r="11" spans="1:6" x14ac:dyDescent="0.4">
      <c r="B11" s="4">
        <v>3</v>
      </c>
      <c r="C11" s="19">
        <v>46062</v>
      </c>
      <c r="D11" s="1" t="s">
        <v>7</v>
      </c>
      <c r="E11" s="1" t="s">
        <v>20</v>
      </c>
      <c r="F11" s="1" t="s">
        <v>21</v>
      </c>
    </row>
    <row r="12" spans="1:6" ht="29.15" x14ac:dyDescent="0.4">
      <c r="B12" s="4">
        <v>4</v>
      </c>
      <c r="C12" s="19">
        <v>46062</v>
      </c>
      <c r="D12" s="1" t="s">
        <v>8</v>
      </c>
      <c r="E12" s="1" t="s">
        <v>49</v>
      </c>
      <c r="F12" s="1" t="s">
        <v>21</v>
      </c>
    </row>
    <row r="13" spans="1:6" x14ac:dyDescent="0.4">
      <c r="B13" s="4">
        <v>5</v>
      </c>
      <c r="C13" s="19">
        <v>46062</v>
      </c>
      <c r="D13" s="1" t="s">
        <v>9</v>
      </c>
      <c r="E13" s="1" t="s">
        <v>50</v>
      </c>
      <c r="F13" s="1" t="s">
        <v>21</v>
      </c>
    </row>
    <row r="14" spans="1:6" x14ac:dyDescent="0.4">
      <c r="B14" s="4">
        <v>6</v>
      </c>
      <c r="C14" s="19">
        <v>46062</v>
      </c>
      <c r="D14" s="1" t="s">
        <v>10</v>
      </c>
      <c r="E14" s="1" t="s">
        <v>41</v>
      </c>
      <c r="F14" s="1" t="s">
        <v>21</v>
      </c>
    </row>
    <row r="15" spans="1:6" x14ac:dyDescent="0.4">
      <c r="B15" s="4">
        <v>7</v>
      </c>
      <c r="C15" s="19">
        <v>46062</v>
      </c>
      <c r="D15" s="1" t="s">
        <v>11</v>
      </c>
      <c r="E15" s="1" t="s">
        <v>20</v>
      </c>
      <c r="F15" s="1" t="s">
        <v>28</v>
      </c>
    </row>
    <row r="16" spans="1:6" x14ac:dyDescent="0.4">
      <c r="B16" s="4">
        <v>8</v>
      </c>
      <c r="C16" s="19">
        <v>46062</v>
      </c>
      <c r="D16" s="1" t="s">
        <v>12</v>
      </c>
      <c r="E16" s="1" t="s">
        <v>27</v>
      </c>
      <c r="F16" s="1" t="s">
        <v>21</v>
      </c>
    </row>
    <row r="17" spans="2:6" x14ac:dyDescent="0.4">
      <c r="B17" s="4">
        <v>9</v>
      </c>
      <c r="C17" s="19">
        <v>46062</v>
      </c>
      <c r="D17" s="1" t="s">
        <v>13</v>
      </c>
      <c r="E17" s="1" t="s">
        <v>45</v>
      </c>
      <c r="F17" s="1" t="s">
        <v>21</v>
      </c>
    </row>
    <row r="18" spans="2:6" ht="29.15" x14ac:dyDescent="0.4">
      <c r="B18" s="4">
        <v>10</v>
      </c>
      <c r="C18" s="19">
        <v>46062</v>
      </c>
      <c r="D18" s="1" t="s">
        <v>14</v>
      </c>
      <c r="E18" s="1" t="s">
        <v>46</v>
      </c>
      <c r="F18" s="1" t="s">
        <v>28</v>
      </c>
    </row>
    <row r="19" spans="2:6" ht="29.15" x14ac:dyDescent="0.4">
      <c r="B19" s="4">
        <v>11</v>
      </c>
      <c r="C19" s="19">
        <v>46062</v>
      </c>
      <c r="D19" s="1" t="s">
        <v>15</v>
      </c>
      <c r="E19" s="1" t="s">
        <v>27</v>
      </c>
      <c r="F19" s="1" t="s">
        <v>21</v>
      </c>
    </row>
    <row r="20" spans="2:6" x14ac:dyDescent="0.4">
      <c r="B20" s="4">
        <v>12</v>
      </c>
      <c r="C20" s="19">
        <v>46062</v>
      </c>
      <c r="D20" s="1" t="s">
        <v>16</v>
      </c>
      <c r="E20" s="1" t="s">
        <v>50</v>
      </c>
      <c r="F20" s="1" t="s">
        <v>21</v>
      </c>
    </row>
    <row r="21" spans="2:6" x14ac:dyDescent="0.4">
      <c r="B21" s="4">
        <v>13</v>
      </c>
      <c r="C21" s="19">
        <v>46062</v>
      </c>
      <c r="D21" s="1" t="s">
        <v>17</v>
      </c>
      <c r="E21" s="1" t="s">
        <v>20</v>
      </c>
      <c r="F21" s="1" t="s">
        <v>21</v>
      </c>
    </row>
    <row r="22" spans="2:6" ht="29.15" x14ac:dyDescent="0.4">
      <c r="B22" s="4">
        <v>14</v>
      </c>
      <c r="C22" s="19">
        <v>46062</v>
      </c>
      <c r="D22" s="1" t="s">
        <v>18</v>
      </c>
      <c r="E22" s="1" t="s">
        <v>43</v>
      </c>
      <c r="F22" s="1" t="s">
        <v>35</v>
      </c>
    </row>
    <row r="23" spans="2:6" ht="29.15" x14ac:dyDescent="0.4">
      <c r="B23" s="4">
        <v>15</v>
      </c>
      <c r="C23" s="19">
        <v>46062</v>
      </c>
      <c r="D23" s="1" t="s">
        <v>19</v>
      </c>
      <c r="E23" s="1" t="s">
        <v>44</v>
      </c>
      <c r="F23" s="1" t="s">
        <v>21</v>
      </c>
    </row>
    <row r="24" spans="2:6" hidden="1" x14ac:dyDescent="0.4">
      <c r="B24" s="4">
        <v>16</v>
      </c>
    </row>
    <row r="25" spans="2:6" hidden="1" x14ac:dyDescent="0.4">
      <c r="B25" s="4">
        <v>17</v>
      </c>
    </row>
    <row r="26" spans="2:6" hidden="1" x14ac:dyDescent="0.4">
      <c r="B26" s="4">
        <v>18</v>
      </c>
    </row>
    <row r="27" spans="2:6" hidden="1" x14ac:dyDescent="0.4">
      <c r="B27" s="4">
        <v>19</v>
      </c>
    </row>
    <row r="28" spans="2:6" hidden="1" x14ac:dyDescent="0.4">
      <c r="B28" s="4">
        <v>20</v>
      </c>
    </row>
    <row r="29" spans="2:6" hidden="1" x14ac:dyDescent="0.4">
      <c r="B29" s="4">
        <v>21</v>
      </c>
    </row>
    <row r="30" spans="2:6" hidden="1" x14ac:dyDescent="0.4">
      <c r="B30" s="4">
        <v>22</v>
      </c>
    </row>
    <row r="31" spans="2:6" hidden="1" x14ac:dyDescent="0.4">
      <c r="B31" s="4">
        <v>23</v>
      </c>
    </row>
    <row r="32" spans="2:6" hidden="1" x14ac:dyDescent="0.4">
      <c r="B32" s="4">
        <v>24</v>
      </c>
    </row>
    <row r="33" spans="2:2" hidden="1" x14ac:dyDescent="0.4">
      <c r="B33" s="4">
        <v>25</v>
      </c>
    </row>
    <row r="34" spans="2:2" hidden="1" x14ac:dyDescent="0.4">
      <c r="B34" s="4">
        <v>26</v>
      </c>
    </row>
    <row r="35" spans="2:2" hidden="1" x14ac:dyDescent="0.4">
      <c r="B35" s="4">
        <v>27</v>
      </c>
    </row>
    <row r="36" spans="2:2" hidden="1" x14ac:dyDescent="0.4">
      <c r="B36" s="4">
        <v>28</v>
      </c>
    </row>
    <row r="37" spans="2:2" hidden="1" x14ac:dyDescent="0.4">
      <c r="B37" s="4">
        <v>29</v>
      </c>
    </row>
    <row r="38" spans="2:2" hidden="1" x14ac:dyDescent="0.4">
      <c r="B38" s="4">
        <v>30</v>
      </c>
    </row>
    <row r="39" spans="2:2" hidden="1" x14ac:dyDescent="0.4">
      <c r="B39" s="4">
        <v>31</v>
      </c>
    </row>
    <row r="40" spans="2:2" hidden="1" x14ac:dyDescent="0.4">
      <c r="B40" s="4">
        <v>32</v>
      </c>
    </row>
    <row r="41" spans="2:2" hidden="1" x14ac:dyDescent="0.4">
      <c r="B41" s="4">
        <v>33</v>
      </c>
    </row>
    <row r="42" spans="2:2" hidden="1" x14ac:dyDescent="0.4">
      <c r="B42" s="4">
        <v>34</v>
      </c>
    </row>
    <row r="43" spans="2:2" hidden="1" x14ac:dyDescent="0.4">
      <c r="B43" s="4">
        <v>35</v>
      </c>
    </row>
    <row r="44" spans="2:2" hidden="1" x14ac:dyDescent="0.4">
      <c r="B44" s="4">
        <v>36</v>
      </c>
    </row>
    <row r="45" spans="2:2" hidden="1" x14ac:dyDescent="0.4">
      <c r="B45" s="4">
        <v>37</v>
      </c>
    </row>
    <row r="46" spans="2:2" hidden="1" x14ac:dyDescent="0.4">
      <c r="B46" s="4">
        <v>38</v>
      </c>
    </row>
    <row r="47" spans="2:2" hidden="1" x14ac:dyDescent="0.4">
      <c r="B47" s="4">
        <v>39</v>
      </c>
    </row>
    <row r="48" spans="2:2" hidden="1" x14ac:dyDescent="0.4">
      <c r="B48" s="4">
        <v>40</v>
      </c>
    </row>
    <row r="49" spans="2:2" hidden="1" x14ac:dyDescent="0.4">
      <c r="B49" s="4">
        <v>41</v>
      </c>
    </row>
    <row r="50" spans="2:2" hidden="1" x14ac:dyDescent="0.4">
      <c r="B50" s="4">
        <v>42</v>
      </c>
    </row>
    <row r="51" spans="2:2" hidden="1" x14ac:dyDescent="0.4">
      <c r="B51" s="4">
        <v>43</v>
      </c>
    </row>
    <row r="52" spans="2:2" hidden="1" x14ac:dyDescent="0.4">
      <c r="B52" s="4">
        <v>44</v>
      </c>
    </row>
    <row r="53" spans="2:2" hidden="1" x14ac:dyDescent="0.4">
      <c r="B53" s="4">
        <v>45</v>
      </c>
    </row>
    <row r="54" spans="2:2" hidden="1" x14ac:dyDescent="0.4">
      <c r="B54" s="4">
        <v>46</v>
      </c>
    </row>
    <row r="55" spans="2:2" hidden="1" x14ac:dyDescent="0.4">
      <c r="B55" s="4">
        <v>47</v>
      </c>
    </row>
    <row r="56" spans="2:2" hidden="1" x14ac:dyDescent="0.4">
      <c r="B56" s="4">
        <v>48</v>
      </c>
    </row>
    <row r="57" spans="2:2" hidden="1" x14ac:dyDescent="0.4">
      <c r="B57" s="4">
        <v>49</v>
      </c>
    </row>
    <row r="58" spans="2:2" hidden="1" x14ac:dyDescent="0.4">
      <c r="B58" s="4">
        <v>50</v>
      </c>
    </row>
    <row r="59" spans="2:2" hidden="1" x14ac:dyDescent="0.4">
      <c r="B59" s="4">
        <v>51</v>
      </c>
    </row>
    <row r="60" spans="2:2" hidden="1" x14ac:dyDescent="0.4">
      <c r="B60" s="4">
        <v>52</v>
      </c>
    </row>
    <row r="61" spans="2:2" hidden="1" x14ac:dyDescent="0.4">
      <c r="B61" s="4">
        <v>53</v>
      </c>
    </row>
    <row r="62" spans="2:2" hidden="1" x14ac:dyDescent="0.4">
      <c r="B62" s="4">
        <v>54</v>
      </c>
    </row>
    <row r="63" spans="2:2" hidden="1" x14ac:dyDescent="0.4">
      <c r="B63" s="4">
        <v>55</v>
      </c>
    </row>
    <row r="64" spans="2:2" hidden="1" x14ac:dyDescent="0.4">
      <c r="B64" s="4">
        <v>56</v>
      </c>
    </row>
    <row r="65" spans="2:2" hidden="1" x14ac:dyDescent="0.4">
      <c r="B65" s="4">
        <v>57</v>
      </c>
    </row>
    <row r="66" spans="2:2" hidden="1" x14ac:dyDescent="0.4">
      <c r="B66" s="4">
        <v>58</v>
      </c>
    </row>
    <row r="67" spans="2:2" hidden="1" x14ac:dyDescent="0.4">
      <c r="B67" s="4">
        <v>59</v>
      </c>
    </row>
    <row r="68" spans="2:2" hidden="1" x14ac:dyDescent="0.4">
      <c r="B68" s="4">
        <v>60</v>
      </c>
    </row>
    <row r="69" spans="2:2" hidden="1" x14ac:dyDescent="0.4">
      <c r="B69" s="4">
        <v>61</v>
      </c>
    </row>
    <row r="70" spans="2:2" hidden="1" x14ac:dyDescent="0.4">
      <c r="B70" s="4">
        <v>62</v>
      </c>
    </row>
    <row r="71" spans="2:2" hidden="1" x14ac:dyDescent="0.4">
      <c r="B71" s="4">
        <v>63</v>
      </c>
    </row>
    <row r="72" spans="2:2" hidden="1" x14ac:dyDescent="0.4">
      <c r="B72" s="4">
        <v>64</v>
      </c>
    </row>
    <row r="73" spans="2:2" hidden="1" x14ac:dyDescent="0.4">
      <c r="B73" s="4">
        <v>65</v>
      </c>
    </row>
    <row r="74" spans="2:2" hidden="1" x14ac:dyDescent="0.4">
      <c r="B74" s="4">
        <v>66</v>
      </c>
    </row>
    <row r="75" spans="2:2" hidden="1" x14ac:dyDescent="0.4">
      <c r="B75" s="4">
        <v>67</v>
      </c>
    </row>
    <row r="76" spans="2:2" hidden="1" x14ac:dyDescent="0.4">
      <c r="B76" s="4">
        <v>68</v>
      </c>
    </row>
    <row r="77" spans="2:2" hidden="1" x14ac:dyDescent="0.4">
      <c r="B77" s="4">
        <v>69</v>
      </c>
    </row>
    <row r="78" spans="2:2" hidden="1" x14ac:dyDescent="0.4">
      <c r="B78" s="4">
        <v>70</v>
      </c>
    </row>
    <row r="79" spans="2:2" hidden="1" x14ac:dyDescent="0.4">
      <c r="B79" s="4">
        <v>71</v>
      </c>
    </row>
    <row r="80" spans="2:2" hidden="1" x14ac:dyDescent="0.4">
      <c r="B80" s="4">
        <v>72</v>
      </c>
    </row>
    <row r="81" spans="2:2" hidden="1" x14ac:dyDescent="0.4">
      <c r="B81" s="4">
        <v>73</v>
      </c>
    </row>
    <row r="82" spans="2:2" hidden="1" x14ac:dyDescent="0.4">
      <c r="B82" s="4">
        <v>74</v>
      </c>
    </row>
    <row r="83" spans="2:2" hidden="1" x14ac:dyDescent="0.4">
      <c r="B83" s="4">
        <v>75</v>
      </c>
    </row>
    <row r="84" spans="2:2" hidden="1" x14ac:dyDescent="0.4">
      <c r="B84" s="4">
        <v>76</v>
      </c>
    </row>
    <row r="85" spans="2:2" hidden="1" x14ac:dyDescent="0.4">
      <c r="B85" s="4">
        <v>77</v>
      </c>
    </row>
    <row r="86" spans="2:2" hidden="1" x14ac:dyDescent="0.4">
      <c r="B86" s="4">
        <v>78</v>
      </c>
    </row>
    <row r="87" spans="2:2" hidden="1" x14ac:dyDescent="0.4">
      <c r="B87" s="4">
        <v>79</v>
      </c>
    </row>
    <row r="88" spans="2:2" hidden="1" x14ac:dyDescent="0.4">
      <c r="B88" s="4">
        <v>80</v>
      </c>
    </row>
    <row r="89" spans="2:2" hidden="1" x14ac:dyDescent="0.4">
      <c r="B89" s="4">
        <v>81</v>
      </c>
    </row>
    <row r="90" spans="2:2" hidden="1" x14ac:dyDescent="0.4">
      <c r="B90" s="4">
        <v>82</v>
      </c>
    </row>
    <row r="91" spans="2:2" hidden="1" x14ac:dyDescent="0.4">
      <c r="B91" s="4">
        <v>83</v>
      </c>
    </row>
    <row r="92" spans="2:2" hidden="1" x14ac:dyDescent="0.4">
      <c r="B92" s="4">
        <v>84</v>
      </c>
    </row>
    <row r="93" spans="2:2" hidden="1" x14ac:dyDescent="0.4">
      <c r="B93" s="4">
        <v>85</v>
      </c>
    </row>
    <row r="94" spans="2:2" hidden="1" x14ac:dyDescent="0.4">
      <c r="B94" s="4">
        <v>86</v>
      </c>
    </row>
    <row r="95" spans="2:2" hidden="1" x14ac:dyDescent="0.4">
      <c r="B95" s="4">
        <v>87</v>
      </c>
    </row>
    <row r="96" spans="2:2" hidden="1" x14ac:dyDescent="0.4">
      <c r="B96" s="4">
        <v>88</v>
      </c>
    </row>
    <row r="97" spans="2:2" hidden="1" x14ac:dyDescent="0.4">
      <c r="B97" s="4">
        <v>89</v>
      </c>
    </row>
    <row r="98" spans="2:2" hidden="1" x14ac:dyDescent="0.4">
      <c r="B98" s="4">
        <v>90</v>
      </c>
    </row>
    <row r="99" spans="2:2" hidden="1" x14ac:dyDescent="0.4">
      <c r="B99" s="4">
        <v>91</v>
      </c>
    </row>
    <row r="100" spans="2:2" hidden="1" x14ac:dyDescent="0.4">
      <c r="B100" s="4">
        <v>92</v>
      </c>
    </row>
    <row r="101" spans="2:2" hidden="1" x14ac:dyDescent="0.4">
      <c r="B101" s="4">
        <v>93</v>
      </c>
    </row>
    <row r="102" spans="2:2" hidden="1" x14ac:dyDescent="0.4">
      <c r="B102" s="4">
        <v>94</v>
      </c>
    </row>
    <row r="103" spans="2:2" hidden="1" x14ac:dyDescent="0.4">
      <c r="B103" s="4">
        <v>95</v>
      </c>
    </row>
    <row r="104" spans="2:2" hidden="1" x14ac:dyDescent="0.4">
      <c r="B104" s="4">
        <v>96</v>
      </c>
    </row>
    <row r="105" spans="2:2" hidden="1" x14ac:dyDescent="0.4">
      <c r="B105" s="4">
        <v>97</v>
      </c>
    </row>
    <row r="106" spans="2:2" hidden="1" x14ac:dyDescent="0.4">
      <c r="B106" s="4">
        <v>98</v>
      </c>
    </row>
    <row r="107" spans="2:2" hidden="1" x14ac:dyDescent="0.4">
      <c r="B107" s="4">
        <v>99</v>
      </c>
    </row>
    <row r="108" spans="2:2" hidden="1" x14ac:dyDescent="0.4">
      <c r="B108" s="4">
        <v>100</v>
      </c>
    </row>
  </sheetData>
  <mergeCells count="2">
    <mergeCell ref="C2:F2"/>
    <mergeCell ref="D3:E3"/>
  </mergeCells>
  <dataValidations count="2">
    <dataValidation type="list" allowBlank="1" showInputMessage="1" promptTitle="Ayuda de Captura" prompt="Seleccione la categoría a la que pertenece el riesgo. En caso de que no encuentre la categoría que busca en la lista, sólo escríbala." sqref="E9:E108" xr:uid="{00000000-0002-0000-0100-000000000000}">
      <formula1>CategoriaRiesgo</formula1>
    </dataValidation>
    <dataValidation type="list" allowBlank="1" showInputMessage="1" showErrorMessage="1" errorTitle="Error de tipo" error="Debe seleccionar un tipo de riesgo de la lista ya que son los únicos permitidos." promptTitle="Ayuda de Captura" prompt="Seleccione el tipo de riesgo de la lista." sqref="F9:F108" xr:uid="{00000000-0002-0000-0100-000001000000}">
      <formula1>TipoRiesgo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Menu">
                <anchor moveWithCells="1" sizeWithCells="1">
                  <from>
                    <xdr:col>5</xdr:col>
                    <xdr:colOff>255814</xdr:colOff>
                    <xdr:row>4</xdr:row>
                    <xdr:rowOff>16329</xdr:rowOff>
                  </from>
                  <to>
                    <xdr:col>5</xdr:col>
                    <xdr:colOff>876300</xdr:colOff>
                    <xdr:row>5</xdr:row>
                    <xdr:rowOff>65314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CambiarRiesgos">
                <anchor moveWithCells="1" sizeWithCells="1">
                  <from>
                    <xdr:col>4</xdr:col>
                    <xdr:colOff>800100</xdr:colOff>
                    <xdr:row>5</xdr:row>
                    <xdr:rowOff>125186</xdr:rowOff>
                  </from>
                  <to>
                    <xdr:col>6</xdr:col>
                    <xdr:colOff>0</xdr:colOff>
                    <xdr:row>6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6"/>
  </sheetPr>
  <dimension ref="A2:G31"/>
  <sheetViews>
    <sheetView showGridLines="0" showRowColHeaders="0" topLeftCell="A2" workbookViewId="0">
      <selection activeCell="G7" sqref="G7"/>
    </sheetView>
  </sheetViews>
  <sheetFormatPr baseColWidth="10" defaultColWidth="0" defaultRowHeight="14.6" zeroHeight="1" x14ac:dyDescent="0.4"/>
  <cols>
    <col min="1" max="1" width="1.69140625" customWidth="1"/>
    <col min="2" max="2" width="11.4609375" customWidth="1"/>
    <col min="3" max="3" width="31.23046875" customWidth="1"/>
    <col min="4" max="6" width="5.69140625" customWidth="1"/>
    <col min="7" max="7" width="40.23046875" customWidth="1"/>
    <col min="8" max="8" width="11.4609375" hidden="1" customWidth="1"/>
    <col min="9" max="16384" width="11.4609375" hidden="1"/>
  </cols>
  <sheetData>
    <row r="2" spans="2:7" ht="21" customHeight="1" x14ac:dyDescent="0.55000000000000004">
      <c r="C2" s="20" t="s">
        <v>59</v>
      </c>
      <c r="D2" s="21"/>
      <c r="E2" s="21"/>
      <c r="F2" s="21"/>
      <c r="G2" s="21"/>
    </row>
    <row r="3" spans="2:7" ht="18.55" customHeight="1" x14ac:dyDescent="0.5">
      <c r="C3" s="15" t="s">
        <v>52</v>
      </c>
      <c r="D3" s="16" t="str">
        <f>IF('Captura de Riesgos'!D3&lt;&gt;"",'Captura de Riesgos'!D3,"")</f>
        <v/>
      </c>
    </row>
    <row r="6" spans="2:7" ht="104.05" customHeight="1" x14ac:dyDescent="0.4">
      <c r="B6" s="3" t="s">
        <v>54</v>
      </c>
      <c r="C6" s="3" t="s">
        <v>56</v>
      </c>
      <c r="D6" s="10" t="s">
        <v>60</v>
      </c>
      <c r="E6" s="10" t="s">
        <v>61</v>
      </c>
      <c r="F6" s="10" t="s">
        <v>62</v>
      </c>
      <c r="G6" s="11" t="s">
        <v>63</v>
      </c>
    </row>
    <row r="7" spans="2:7" ht="29.15" x14ac:dyDescent="0.4">
      <c r="B7" s="8">
        <v>1</v>
      </c>
      <c r="C7" s="17" t="s">
        <v>5</v>
      </c>
      <c r="D7" s="8">
        <v>4</v>
      </c>
      <c r="E7" s="8">
        <v>3</v>
      </c>
      <c r="F7" s="8">
        <v>3</v>
      </c>
      <c r="G7" s="9">
        <f t="shared" ref="G7:G16" si="0">IF(AND(D7&lt;&gt;"",E7&lt;&gt;""),D7*E7,"")</f>
        <v>12</v>
      </c>
    </row>
    <row r="8" spans="2:7" ht="29.15" x14ac:dyDescent="0.4">
      <c r="B8" s="8">
        <v>2</v>
      </c>
      <c r="C8" s="17" t="s">
        <v>6</v>
      </c>
      <c r="D8" s="8">
        <v>4</v>
      </c>
      <c r="E8" s="8">
        <v>4</v>
      </c>
      <c r="F8" s="8">
        <v>2</v>
      </c>
      <c r="G8" s="9">
        <f t="shared" si="0"/>
        <v>16</v>
      </c>
    </row>
    <row r="9" spans="2:7" ht="29.15" x14ac:dyDescent="0.4">
      <c r="B9" s="8">
        <v>3</v>
      </c>
      <c r="C9" s="17" t="s">
        <v>7</v>
      </c>
      <c r="D9" s="8">
        <v>5</v>
      </c>
      <c r="E9" s="8">
        <v>2</v>
      </c>
      <c r="F9" s="8">
        <v>2</v>
      </c>
      <c r="G9" s="9">
        <f t="shared" si="0"/>
        <v>10</v>
      </c>
    </row>
    <row r="10" spans="2:7" ht="29.15" x14ac:dyDescent="0.4">
      <c r="B10" s="8">
        <v>4</v>
      </c>
      <c r="C10" s="17" t="s">
        <v>8</v>
      </c>
      <c r="D10" s="8">
        <v>5</v>
      </c>
      <c r="E10" s="8">
        <v>2</v>
      </c>
      <c r="F10" s="8">
        <v>4</v>
      </c>
      <c r="G10" s="9">
        <f t="shared" si="0"/>
        <v>10</v>
      </c>
    </row>
    <row r="11" spans="2:7" ht="29.15" x14ac:dyDescent="0.4">
      <c r="B11" s="8">
        <v>5</v>
      </c>
      <c r="C11" s="17" t="s">
        <v>9</v>
      </c>
      <c r="D11" s="8">
        <v>4</v>
      </c>
      <c r="E11" s="8">
        <v>3</v>
      </c>
      <c r="F11" s="8">
        <v>2</v>
      </c>
      <c r="G11" s="9">
        <f t="shared" si="0"/>
        <v>12</v>
      </c>
    </row>
    <row r="12" spans="2:7" ht="29.15" x14ac:dyDescent="0.4">
      <c r="B12" s="8">
        <v>6</v>
      </c>
      <c r="C12" s="17" t="s">
        <v>10</v>
      </c>
      <c r="D12" s="8">
        <v>3</v>
      </c>
      <c r="E12" s="8">
        <v>2</v>
      </c>
      <c r="F12" s="8">
        <v>3</v>
      </c>
      <c r="G12" s="9">
        <f t="shared" si="0"/>
        <v>6</v>
      </c>
    </row>
    <row r="13" spans="2:7" ht="29.15" x14ac:dyDescent="0.4">
      <c r="B13" s="8">
        <v>7</v>
      </c>
      <c r="C13" s="17" t="s">
        <v>11</v>
      </c>
      <c r="D13" s="8">
        <v>3</v>
      </c>
      <c r="E13" s="8">
        <v>3</v>
      </c>
      <c r="F13" s="8">
        <v>2</v>
      </c>
      <c r="G13" s="9">
        <f t="shared" si="0"/>
        <v>9</v>
      </c>
    </row>
    <row r="14" spans="2:7" ht="29.15" x14ac:dyDescent="0.4">
      <c r="B14" s="8">
        <v>8</v>
      </c>
      <c r="C14" s="17" t="s">
        <v>12</v>
      </c>
      <c r="D14" s="8">
        <v>4</v>
      </c>
      <c r="E14" s="8">
        <v>3</v>
      </c>
      <c r="F14" s="8">
        <v>3</v>
      </c>
      <c r="G14" s="9">
        <f t="shared" si="0"/>
        <v>12</v>
      </c>
    </row>
    <row r="15" spans="2:7" ht="29.15" x14ac:dyDescent="0.4">
      <c r="B15" s="8">
        <v>9</v>
      </c>
      <c r="C15" s="17" t="s">
        <v>13</v>
      </c>
      <c r="D15" s="8">
        <v>4</v>
      </c>
      <c r="E15" s="8">
        <v>2</v>
      </c>
      <c r="F15" s="8">
        <v>3</v>
      </c>
      <c r="G15" s="9">
        <f t="shared" si="0"/>
        <v>8</v>
      </c>
    </row>
    <row r="16" spans="2:7" ht="29.15" x14ac:dyDescent="0.4">
      <c r="B16" s="8">
        <v>10</v>
      </c>
      <c r="C16" s="17" t="s">
        <v>14</v>
      </c>
      <c r="D16" s="8">
        <v>3</v>
      </c>
      <c r="E16" s="8">
        <v>2</v>
      </c>
      <c r="F16" s="8">
        <v>3</v>
      </c>
      <c r="G16" s="9">
        <f t="shared" si="0"/>
        <v>6</v>
      </c>
    </row>
    <row r="31" ht="157.5" customHeight="1" x14ac:dyDescent="0.4"/>
  </sheetData>
  <mergeCells count="1">
    <mergeCell ref="C2:G2"/>
  </mergeCells>
  <conditionalFormatting sqref="G7:G16">
    <cfRule type="dataBar" priority="1">
      <dataBar>
        <cfvo type="min"/>
        <cfvo type="max"/>
        <color rgb="FFD6007B"/>
      </dataBar>
    </cfRule>
  </conditionalFormatting>
  <dataValidations count="4">
    <dataValidation type="list" allowBlank="1" showInputMessage="1" showErrorMessage="1" promptTitle="Impacto" prompt="1 - Muy Bajo_x000a_2 - Bajo_x000a_3 - Medio_x000a_4 - Medio Alto_x000a_5 - Alto" sqref="D7:D16" xr:uid="{00000000-0002-0000-0200-000000000000}">
      <formula1>Escala2</formula1>
    </dataValidation>
    <dataValidation type="list" allowBlank="1" showInputMessage="1" showErrorMessage="1" promptTitle="Probabilidad" prompt="0 - Baja - 0%_x000a_1 - Baja - (1%-20%) _x000a_2 - Media - (21% - 40%)_x000a_3 - Alta - (41% - 60%)_x000a_4 - Alta - (61% - 80%)_x000a_5 - Alta - (81% - 100%)" sqref="E7:E16" xr:uid="{00000000-0002-0000-0200-000001000000}">
      <formula1>Escala1</formula1>
    </dataValidation>
    <dataValidation type="list" allowBlank="1" showInputMessage="1" showErrorMessage="1" promptTitle="Advertencia" prompt="1 - Totalmente desconocido_x000a_2 - Conocido - no informado, no documentado_x000a_3 - Conocido - no informado, documentado_x000a_4 - Conocido - no documentado, informado_x000a_5 - Conocido - informado, documentado" sqref="F7:F16" xr:uid="{00000000-0002-0000-0200-000002000000}">
      <formula1>Escala2</formula1>
    </dataValidation>
    <dataValidation type="list" allowBlank="1" showInputMessage="1" showErrorMessage="1" errorTitle="Error de Captura" error="Sólo pueden seleccionarse riesgos existentes en la sección de &quot;Captura de Riesgos&quot;" promptTitle="Ayuda de Captura" prompt="Seleccione el riesgo que desea analizar" sqref="C7:C16" xr:uid="{00000000-0002-0000-0200-000003000000}">
      <formula1>Riesgos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3" name="Button 12">
              <controlPr defaultSize="0" print="0" autoFill="0" autoPict="0" macro="[0]!Menu">
                <anchor moveWithCells="1" sizeWithCells="1">
                  <from>
                    <xdr:col>6</xdr:col>
                    <xdr:colOff>1643743</xdr:colOff>
                    <xdr:row>3</xdr:row>
                    <xdr:rowOff>81643</xdr:rowOff>
                  </from>
                  <to>
                    <xdr:col>6</xdr:col>
                    <xdr:colOff>2264229</xdr:colOff>
                    <xdr:row>4</xdr:row>
                    <xdr:rowOff>130629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7"/>
  </sheetPr>
  <dimension ref="A2:G108"/>
  <sheetViews>
    <sheetView showGridLines="0" showRowColHeaders="0" topLeftCell="A15" workbookViewId="0">
      <selection activeCell="C9" sqref="C9"/>
    </sheetView>
  </sheetViews>
  <sheetFormatPr baseColWidth="10" defaultColWidth="0" defaultRowHeight="14.6" zeroHeight="1" x14ac:dyDescent="0.4"/>
  <cols>
    <col min="1" max="1" width="1.69140625" customWidth="1"/>
    <col min="2" max="2" width="6.53515625" style="4" customWidth="1"/>
    <col min="3" max="3" width="31.15234375" customWidth="1"/>
    <col min="4" max="4" width="24.4609375" customWidth="1"/>
    <col min="5" max="5" width="34.69140625" customWidth="1"/>
    <col min="6" max="6" width="42.53515625" customWidth="1"/>
    <col min="7" max="7" width="1.69140625" customWidth="1"/>
    <col min="8" max="8" width="11.4609375" hidden="1" customWidth="1"/>
    <col min="9" max="16384" width="11.4609375" hidden="1"/>
  </cols>
  <sheetData>
    <row r="2" spans="2:6" ht="21" customHeight="1" x14ac:dyDescent="0.55000000000000004">
      <c r="C2" s="20" t="s">
        <v>0</v>
      </c>
      <c r="D2" s="21"/>
      <c r="E2" s="21"/>
      <c r="F2" s="21"/>
    </row>
    <row r="3" spans="2:6" ht="18.55" customHeight="1" x14ac:dyDescent="0.5">
      <c r="C3" s="15" t="s">
        <v>52</v>
      </c>
      <c r="D3" s="25" t="str">
        <f>IF('Captura de Riesgos'!D3&lt;&gt;"",'Captura de Riesgos'!D3,"")</f>
        <v/>
      </c>
      <c r="E3" s="21"/>
    </row>
    <row r="8" spans="2:6" s="4" customFormat="1" ht="29.05" customHeight="1" x14ac:dyDescent="0.4">
      <c r="B8" s="5" t="s">
        <v>54</v>
      </c>
      <c r="C8" s="5" t="s">
        <v>56</v>
      </c>
      <c r="D8" s="5" t="s">
        <v>64</v>
      </c>
      <c r="E8" s="5" t="s">
        <v>65</v>
      </c>
      <c r="F8" s="5" t="s">
        <v>66</v>
      </c>
    </row>
    <row r="9" spans="2:6" ht="29.05" customHeight="1" x14ac:dyDescent="0.4">
      <c r="B9" s="4">
        <v>1</v>
      </c>
      <c r="C9" s="1" t="str">
        <f>IF('Captura de Riesgos'!D9="","",'Captura de Riesgos'!D9)</f>
        <v>Subrepresentación de la muestra en encuestas</v>
      </c>
      <c r="D9" s="1" t="s">
        <v>23</v>
      </c>
      <c r="E9" s="1" t="s">
        <v>67</v>
      </c>
      <c r="F9" s="1" t="s">
        <v>68</v>
      </c>
    </row>
    <row r="10" spans="2:6" ht="29.15" x14ac:dyDescent="0.4">
      <c r="B10" s="4">
        <v>2</v>
      </c>
      <c r="C10" s="1" t="str">
        <f>IF('Captura de Riesgos'!D10="","",'Captura de Riesgos'!D10)</f>
        <v>Integridad y ruido en datos recolectados (spam/duplicados)</v>
      </c>
      <c r="D10" s="1" t="s">
        <v>23</v>
      </c>
      <c r="E10" s="1" t="s">
        <v>67</v>
      </c>
      <c r="F10" s="1" t="s">
        <v>69</v>
      </c>
    </row>
    <row r="11" spans="2:6" ht="29.15" x14ac:dyDescent="0.4">
      <c r="B11" s="4">
        <v>3</v>
      </c>
      <c r="C11" s="1" t="str">
        <f>IF('Captura de Riesgos'!D11="","",'Captura de Riesgos'!D11)</f>
        <v>Falla de infraestructura crítica (equipos de cómputo)</v>
      </c>
      <c r="D11" s="1" t="s">
        <v>30</v>
      </c>
      <c r="E11" s="1" t="s">
        <v>67</v>
      </c>
      <c r="F11" s="1" t="s">
        <v>70</v>
      </c>
    </row>
    <row r="12" spans="2:6" ht="29.15" x14ac:dyDescent="0.4">
      <c r="B12" s="4">
        <v>4</v>
      </c>
      <c r="C12" s="1" t="str">
        <f>IF('Captura de Riesgos'!D12="","",'Captura de Riesgos'!D12)</f>
        <v>Compromiso de privacidad y anonimato de participantes</v>
      </c>
      <c r="D12" s="1" t="s">
        <v>23</v>
      </c>
      <c r="E12" s="1" t="s">
        <v>67</v>
      </c>
      <c r="F12" s="1" t="s">
        <v>71</v>
      </c>
    </row>
    <row r="13" spans="2:6" ht="29.15" x14ac:dyDescent="0.4">
      <c r="B13" s="4">
        <v>5</v>
      </c>
      <c r="C13" s="1" t="str">
        <f>IF('Captura de Riesgos'!D13="","",'Captura de Riesgos'!D13)</f>
        <v>Cuello de botella en ruta crítica – desarrollo Dashboard</v>
      </c>
      <c r="D13" s="1" t="s">
        <v>37</v>
      </c>
      <c r="E13" s="1" t="s">
        <v>67</v>
      </c>
      <c r="F13" s="1" t="s">
        <v>72</v>
      </c>
    </row>
    <row r="14" spans="2:6" ht="29.15" x14ac:dyDescent="0.4">
      <c r="B14" s="4">
        <v>6</v>
      </c>
      <c r="C14" s="1" t="str">
        <f>IF('Captura de Riesgos'!D14="","",'Captura de Riesgos'!D14)</f>
        <v>Baja permisividad institucional para colocar códigos QR</v>
      </c>
      <c r="D14" s="1" t="s">
        <v>23</v>
      </c>
      <c r="E14" s="1" t="s">
        <v>67</v>
      </c>
      <c r="F14" s="1" t="s">
        <v>73</v>
      </c>
    </row>
    <row r="15" spans="2:6" ht="29.15" x14ac:dyDescent="0.4">
      <c r="B15" s="4">
        <v>7</v>
      </c>
      <c r="C15" s="1" t="str">
        <f>IF('Captura de Riesgos'!D15="","",'Captura de Riesgos'!D15)</f>
        <v>Dependencia de plataformas de hosting externas</v>
      </c>
      <c r="D15" s="1" t="s">
        <v>23</v>
      </c>
      <c r="E15" s="1" t="s">
        <v>67</v>
      </c>
      <c r="F15" s="1" t="s">
        <v>74</v>
      </c>
    </row>
    <row r="16" spans="2:6" ht="29.15" x14ac:dyDescent="0.4">
      <c r="B16" s="4">
        <v>8</v>
      </c>
      <c r="C16" s="1" t="str">
        <f>IF('Captura de Riesgos'!D16="","",'Captura de Riesgos'!D16)</f>
        <v>Sesgo en las respuestas por grupos de interés</v>
      </c>
      <c r="D16" s="1" t="s">
        <v>23</v>
      </c>
      <c r="E16" s="1" t="s">
        <v>67</v>
      </c>
      <c r="F16" s="1" t="s">
        <v>75</v>
      </c>
    </row>
    <row r="17" spans="2:6" ht="29.15" x14ac:dyDescent="0.4">
      <c r="B17" s="4">
        <v>9</v>
      </c>
      <c r="C17" s="1" t="str">
        <f>IF('Captura de Riesgos'!D17="","",'Captura de Riesgos'!D17)</f>
        <v>Rotación o baja de un miembro clave del equipo</v>
      </c>
      <c r="D17" s="1" t="s">
        <v>23</v>
      </c>
      <c r="E17" s="1" t="s">
        <v>67</v>
      </c>
      <c r="F17" s="1" t="s">
        <v>76</v>
      </c>
    </row>
    <row r="18" spans="2:6" ht="29.15" x14ac:dyDescent="0.4">
      <c r="B18" s="4">
        <v>10</v>
      </c>
      <c r="C18" s="1" t="str">
        <f>IF('Captura de Riesgos'!D18="","",'Captura de Riesgos'!D18)</f>
        <v>Desajuste en el presupuesto por alza en costo de hardware</v>
      </c>
      <c r="D18" s="1" t="s">
        <v>30</v>
      </c>
      <c r="E18" s="1" t="s">
        <v>67</v>
      </c>
      <c r="F18" s="1" t="s">
        <v>77</v>
      </c>
    </row>
    <row r="19" spans="2:6" ht="29.15" x14ac:dyDescent="0.4">
      <c r="B19" s="4">
        <v>11</v>
      </c>
      <c r="C19" s="1" t="str">
        <f>IF('Captura de Riesgos'!D19="","",'Captura de Riesgos'!D19)</f>
        <v>Falta de validación estadística del instrumento (encuesta)</v>
      </c>
      <c r="D19" s="1" t="s">
        <v>23</v>
      </c>
      <c r="E19" s="1" t="s">
        <v>67</v>
      </c>
      <c r="F19" s="1" t="s">
        <v>78</v>
      </c>
    </row>
    <row r="20" spans="2:6" ht="29.15" x14ac:dyDescent="0.4">
      <c r="B20" s="4">
        <v>12</v>
      </c>
      <c r="C20" s="1" t="str">
        <f>IF('Captura de Riesgos'!D20="","",'Captura de Riesgos'!D20)</f>
        <v>Incumplimiento de plazos en la fase de análisis EDA</v>
      </c>
      <c r="D20" s="1" t="s">
        <v>23</v>
      </c>
      <c r="E20" s="1" t="s">
        <v>67</v>
      </c>
      <c r="F20" s="1" t="s">
        <v>79</v>
      </c>
    </row>
    <row r="21" spans="2:6" ht="29.15" x14ac:dyDescent="0.4">
      <c r="B21" s="4">
        <v>13</v>
      </c>
      <c r="C21" s="1" t="str">
        <f>IF('Captura de Riesgos'!D21="","",'Captura de Riesgos'!D21)</f>
        <v>Pérdida o corrupción de datos durante el proceso ETL</v>
      </c>
      <c r="D21" s="1" t="s">
        <v>30</v>
      </c>
      <c r="E21" s="1" t="s">
        <v>67</v>
      </c>
      <c r="F21" s="1" t="s">
        <v>80</v>
      </c>
    </row>
    <row r="22" spans="2:6" ht="29.15" x14ac:dyDescent="0.4">
      <c r="B22" s="4">
        <v>14</v>
      </c>
      <c r="C22" s="1" t="str">
        <f>IF('Captura de Riesgos'!D22="","",'Captura de Riesgos'!D22)</f>
        <v>Rechazo o baja adopción del dashboard por la administración</v>
      </c>
      <c r="D22" s="1" t="s">
        <v>23</v>
      </c>
      <c r="E22" s="1" t="s">
        <v>67</v>
      </c>
      <c r="F22" s="1" t="s">
        <v>81</v>
      </c>
    </row>
    <row r="23" spans="2:6" ht="29.15" x14ac:dyDescent="0.4">
      <c r="B23" s="4">
        <v>15</v>
      </c>
      <c r="C23" s="1" t="str">
        <f>IF('Captura de Riesgos'!D23="","",'Captura de Riesgos'!D23)</f>
        <v>Conflicto de intereses con concesionarios al publicar resultados</v>
      </c>
      <c r="D23" s="1" t="s">
        <v>23</v>
      </c>
      <c r="E23" s="1" t="s">
        <v>67</v>
      </c>
      <c r="F23" s="1" t="s">
        <v>82</v>
      </c>
    </row>
    <row r="24" spans="2:6" hidden="1" x14ac:dyDescent="0.4">
      <c r="B24" s="4">
        <v>16</v>
      </c>
      <c r="C24" t="str">
        <f>IF('Captura de Riesgos'!D24="","",'Captura de Riesgos'!D24)</f>
        <v/>
      </c>
    </row>
    <row r="25" spans="2:6" hidden="1" x14ac:dyDescent="0.4">
      <c r="B25" s="4">
        <v>17</v>
      </c>
      <c r="C25" t="str">
        <f>IF('Captura de Riesgos'!D25="","",'Captura de Riesgos'!D25)</f>
        <v/>
      </c>
    </row>
    <row r="26" spans="2:6" hidden="1" x14ac:dyDescent="0.4">
      <c r="B26" s="4">
        <v>18</v>
      </c>
      <c r="C26" t="str">
        <f>IF('Captura de Riesgos'!D26="","",'Captura de Riesgos'!D26)</f>
        <v/>
      </c>
    </row>
    <row r="27" spans="2:6" hidden="1" x14ac:dyDescent="0.4">
      <c r="B27" s="4">
        <v>19</v>
      </c>
      <c r="C27" t="str">
        <f>IF('Captura de Riesgos'!D27="","",'Captura de Riesgos'!D27)</f>
        <v/>
      </c>
    </row>
    <row r="28" spans="2:6" hidden="1" x14ac:dyDescent="0.4">
      <c r="B28" s="4">
        <v>20</v>
      </c>
      <c r="C28" t="str">
        <f>IF('Captura de Riesgos'!D28="","",'Captura de Riesgos'!D28)</f>
        <v/>
      </c>
    </row>
    <row r="29" spans="2:6" hidden="1" x14ac:dyDescent="0.4">
      <c r="B29" s="4">
        <v>21</v>
      </c>
      <c r="C29" t="str">
        <f>IF('Captura de Riesgos'!D29="","",'Captura de Riesgos'!D29)</f>
        <v/>
      </c>
    </row>
    <row r="30" spans="2:6" hidden="1" x14ac:dyDescent="0.4">
      <c r="B30" s="4">
        <v>22</v>
      </c>
      <c r="C30" t="str">
        <f>IF('Captura de Riesgos'!D30="","",'Captura de Riesgos'!D30)</f>
        <v/>
      </c>
    </row>
    <row r="31" spans="2:6" hidden="1" x14ac:dyDescent="0.4">
      <c r="B31" s="4">
        <v>23</v>
      </c>
      <c r="C31" t="str">
        <f>IF('Captura de Riesgos'!D31="","",'Captura de Riesgos'!D31)</f>
        <v/>
      </c>
    </row>
    <row r="32" spans="2:6" hidden="1" x14ac:dyDescent="0.4">
      <c r="B32" s="4">
        <v>24</v>
      </c>
      <c r="C32" t="str">
        <f>IF('Captura de Riesgos'!D32="","",'Captura de Riesgos'!D32)</f>
        <v/>
      </c>
    </row>
    <row r="33" spans="2:3" hidden="1" x14ac:dyDescent="0.4">
      <c r="B33" s="4">
        <v>25</v>
      </c>
      <c r="C33" t="str">
        <f>IF('Captura de Riesgos'!D33="","",'Captura de Riesgos'!D33)</f>
        <v/>
      </c>
    </row>
    <row r="34" spans="2:3" hidden="1" x14ac:dyDescent="0.4">
      <c r="B34" s="4">
        <v>26</v>
      </c>
      <c r="C34" t="str">
        <f>IF('Captura de Riesgos'!D34="","",'Captura de Riesgos'!D34)</f>
        <v/>
      </c>
    </row>
    <row r="35" spans="2:3" hidden="1" x14ac:dyDescent="0.4">
      <c r="B35" s="4">
        <v>27</v>
      </c>
      <c r="C35" t="str">
        <f>IF('Captura de Riesgos'!D35="","",'Captura de Riesgos'!D35)</f>
        <v/>
      </c>
    </row>
    <row r="36" spans="2:3" hidden="1" x14ac:dyDescent="0.4">
      <c r="B36" s="4">
        <v>28</v>
      </c>
      <c r="C36" t="str">
        <f>IF('Captura de Riesgos'!D36="","",'Captura de Riesgos'!D36)</f>
        <v/>
      </c>
    </row>
    <row r="37" spans="2:3" hidden="1" x14ac:dyDescent="0.4">
      <c r="B37" s="4">
        <v>29</v>
      </c>
      <c r="C37" t="str">
        <f>IF('Captura de Riesgos'!D37="","",'Captura de Riesgos'!D37)</f>
        <v/>
      </c>
    </row>
    <row r="38" spans="2:3" hidden="1" x14ac:dyDescent="0.4">
      <c r="B38" s="4">
        <v>30</v>
      </c>
      <c r="C38" t="str">
        <f>IF('Captura de Riesgos'!D38="","",'Captura de Riesgos'!D38)</f>
        <v/>
      </c>
    </row>
    <row r="39" spans="2:3" hidden="1" x14ac:dyDescent="0.4">
      <c r="B39" s="4">
        <v>31</v>
      </c>
      <c r="C39" t="str">
        <f>IF('Captura de Riesgos'!D39="","",'Captura de Riesgos'!D39)</f>
        <v/>
      </c>
    </row>
    <row r="40" spans="2:3" hidden="1" x14ac:dyDescent="0.4">
      <c r="B40" s="4">
        <v>32</v>
      </c>
      <c r="C40" t="str">
        <f>IF('Captura de Riesgos'!D40="","",'Captura de Riesgos'!D40)</f>
        <v/>
      </c>
    </row>
    <row r="41" spans="2:3" hidden="1" x14ac:dyDescent="0.4">
      <c r="B41" s="4">
        <v>33</v>
      </c>
      <c r="C41" t="str">
        <f>IF('Captura de Riesgos'!D41="","",'Captura de Riesgos'!D41)</f>
        <v/>
      </c>
    </row>
    <row r="42" spans="2:3" hidden="1" x14ac:dyDescent="0.4">
      <c r="B42" s="4">
        <v>34</v>
      </c>
      <c r="C42" t="str">
        <f>IF('Captura de Riesgos'!D42="","",'Captura de Riesgos'!D42)</f>
        <v/>
      </c>
    </row>
    <row r="43" spans="2:3" hidden="1" x14ac:dyDescent="0.4">
      <c r="B43" s="4">
        <v>35</v>
      </c>
      <c r="C43" t="str">
        <f>IF('Captura de Riesgos'!D43="","",'Captura de Riesgos'!D43)</f>
        <v/>
      </c>
    </row>
    <row r="44" spans="2:3" hidden="1" x14ac:dyDescent="0.4">
      <c r="B44" s="4">
        <v>36</v>
      </c>
      <c r="C44" t="str">
        <f>IF('Captura de Riesgos'!D44="","",'Captura de Riesgos'!D44)</f>
        <v/>
      </c>
    </row>
    <row r="45" spans="2:3" hidden="1" x14ac:dyDescent="0.4">
      <c r="B45" s="4">
        <v>37</v>
      </c>
      <c r="C45" t="str">
        <f>IF('Captura de Riesgos'!D45="","",'Captura de Riesgos'!D45)</f>
        <v/>
      </c>
    </row>
    <row r="46" spans="2:3" hidden="1" x14ac:dyDescent="0.4">
      <c r="B46" s="4">
        <v>38</v>
      </c>
      <c r="C46" t="str">
        <f>IF('Captura de Riesgos'!D46="","",'Captura de Riesgos'!D46)</f>
        <v/>
      </c>
    </row>
    <row r="47" spans="2:3" hidden="1" x14ac:dyDescent="0.4">
      <c r="B47" s="4">
        <v>39</v>
      </c>
      <c r="C47" t="str">
        <f>IF('Captura de Riesgos'!D47="","",'Captura de Riesgos'!D47)</f>
        <v/>
      </c>
    </row>
    <row r="48" spans="2:3" hidden="1" x14ac:dyDescent="0.4">
      <c r="B48" s="4">
        <v>40</v>
      </c>
      <c r="C48" t="str">
        <f>IF('Captura de Riesgos'!D48="","",'Captura de Riesgos'!D48)</f>
        <v/>
      </c>
    </row>
    <row r="49" spans="2:3" hidden="1" x14ac:dyDescent="0.4">
      <c r="B49" s="4">
        <v>41</v>
      </c>
      <c r="C49" t="str">
        <f>IF('Captura de Riesgos'!D49="","",'Captura de Riesgos'!D49)</f>
        <v/>
      </c>
    </row>
    <row r="50" spans="2:3" hidden="1" x14ac:dyDescent="0.4">
      <c r="B50" s="4">
        <v>42</v>
      </c>
      <c r="C50" t="str">
        <f>IF('Captura de Riesgos'!D50="","",'Captura de Riesgos'!D50)</f>
        <v/>
      </c>
    </row>
    <row r="51" spans="2:3" hidden="1" x14ac:dyDescent="0.4">
      <c r="B51" s="4">
        <v>43</v>
      </c>
      <c r="C51" t="str">
        <f>IF('Captura de Riesgos'!D51="","",'Captura de Riesgos'!D51)</f>
        <v/>
      </c>
    </row>
    <row r="52" spans="2:3" hidden="1" x14ac:dyDescent="0.4">
      <c r="B52" s="4">
        <v>44</v>
      </c>
      <c r="C52" t="str">
        <f>IF('Captura de Riesgos'!D52="","",'Captura de Riesgos'!D52)</f>
        <v/>
      </c>
    </row>
    <row r="53" spans="2:3" hidden="1" x14ac:dyDescent="0.4">
      <c r="B53" s="4">
        <v>45</v>
      </c>
      <c r="C53" t="str">
        <f>IF('Captura de Riesgos'!D53="","",'Captura de Riesgos'!D53)</f>
        <v/>
      </c>
    </row>
    <row r="54" spans="2:3" hidden="1" x14ac:dyDescent="0.4">
      <c r="B54" s="4">
        <v>46</v>
      </c>
      <c r="C54" t="str">
        <f>IF('Captura de Riesgos'!D54="","",'Captura de Riesgos'!D54)</f>
        <v/>
      </c>
    </row>
    <row r="55" spans="2:3" hidden="1" x14ac:dyDescent="0.4">
      <c r="B55" s="4">
        <v>47</v>
      </c>
      <c r="C55" t="str">
        <f>IF('Captura de Riesgos'!D55="","",'Captura de Riesgos'!D55)</f>
        <v/>
      </c>
    </row>
    <row r="56" spans="2:3" hidden="1" x14ac:dyDescent="0.4">
      <c r="B56" s="4">
        <v>48</v>
      </c>
      <c r="C56" t="str">
        <f>IF('Captura de Riesgos'!D56="","",'Captura de Riesgos'!D56)</f>
        <v/>
      </c>
    </row>
    <row r="57" spans="2:3" hidden="1" x14ac:dyDescent="0.4">
      <c r="B57" s="4">
        <v>49</v>
      </c>
      <c r="C57" t="str">
        <f>IF('Captura de Riesgos'!D57="","",'Captura de Riesgos'!D57)</f>
        <v/>
      </c>
    </row>
    <row r="58" spans="2:3" hidden="1" x14ac:dyDescent="0.4">
      <c r="B58" s="4">
        <v>50</v>
      </c>
      <c r="C58" t="str">
        <f>IF('Captura de Riesgos'!D58="","",'Captura de Riesgos'!D58)</f>
        <v/>
      </c>
    </row>
    <row r="59" spans="2:3" hidden="1" x14ac:dyDescent="0.4">
      <c r="B59" s="4">
        <v>51</v>
      </c>
      <c r="C59" t="str">
        <f>IF('Captura de Riesgos'!D59="","",'Captura de Riesgos'!D59)</f>
        <v/>
      </c>
    </row>
    <row r="60" spans="2:3" hidden="1" x14ac:dyDescent="0.4">
      <c r="B60" s="4">
        <v>52</v>
      </c>
      <c r="C60" t="str">
        <f>IF('Captura de Riesgos'!D60="","",'Captura de Riesgos'!D60)</f>
        <v/>
      </c>
    </row>
    <row r="61" spans="2:3" hidden="1" x14ac:dyDescent="0.4">
      <c r="B61" s="4">
        <v>53</v>
      </c>
      <c r="C61" t="str">
        <f>IF('Captura de Riesgos'!D61="","",'Captura de Riesgos'!D61)</f>
        <v/>
      </c>
    </row>
    <row r="62" spans="2:3" hidden="1" x14ac:dyDescent="0.4">
      <c r="B62" s="4">
        <v>54</v>
      </c>
      <c r="C62" t="str">
        <f>IF('Captura de Riesgos'!D62="","",'Captura de Riesgos'!D62)</f>
        <v/>
      </c>
    </row>
    <row r="63" spans="2:3" hidden="1" x14ac:dyDescent="0.4">
      <c r="B63" s="4">
        <v>55</v>
      </c>
      <c r="C63" t="str">
        <f>IF('Captura de Riesgos'!D63="","",'Captura de Riesgos'!D63)</f>
        <v/>
      </c>
    </row>
    <row r="64" spans="2:3" hidden="1" x14ac:dyDescent="0.4">
      <c r="B64" s="4">
        <v>56</v>
      </c>
      <c r="C64" t="str">
        <f>IF('Captura de Riesgos'!D64="","",'Captura de Riesgos'!D64)</f>
        <v/>
      </c>
    </row>
    <row r="65" spans="2:3" hidden="1" x14ac:dyDescent="0.4">
      <c r="B65" s="4">
        <v>57</v>
      </c>
      <c r="C65" t="str">
        <f>IF('Captura de Riesgos'!D65="","",'Captura de Riesgos'!D65)</f>
        <v/>
      </c>
    </row>
    <row r="66" spans="2:3" hidden="1" x14ac:dyDescent="0.4">
      <c r="B66" s="4">
        <v>58</v>
      </c>
      <c r="C66" t="str">
        <f>IF('Captura de Riesgos'!D66="","",'Captura de Riesgos'!D66)</f>
        <v/>
      </c>
    </row>
    <row r="67" spans="2:3" hidden="1" x14ac:dyDescent="0.4">
      <c r="B67" s="4">
        <v>59</v>
      </c>
      <c r="C67" t="str">
        <f>IF('Captura de Riesgos'!D67="","",'Captura de Riesgos'!D67)</f>
        <v/>
      </c>
    </row>
    <row r="68" spans="2:3" hidden="1" x14ac:dyDescent="0.4">
      <c r="B68" s="4">
        <v>60</v>
      </c>
      <c r="C68" t="str">
        <f>IF('Captura de Riesgos'!D68="","",'Captura de Riesgos'!D68)</f>
        <v/>
      </c>
    </row>
    <row r="69" spans="2:3" hidden="1" x14ac:dyDescent="0.4">
      <c r="B69" s="4">
        <v>61</v>
      </c>
      <c r="C69" t="str">
        <f>IF('Captura de Riesgos'!D69="","",'Captura de Riesgos'!D69)</f>
        <v/>
      </c>
    </row>
    <row r="70" spans="2:3" hidden="1" x14ac:dyDescent="0.4">
      <c r="B70" s="4">
        <v>62</v>
      </c>
      <c r="C70" t="str">
        <f>IF('Captura de Riesgos'!D70="","",'Captura de Riesgos'!D70)</f>
        <v/>
      </c>
    </row>
    <row r="71" spans="2:3" hidden="1" x14ac:dyDescent="0.4">
      <c r="B71" s="4">
        <v>63</v>
      </c>
      <c r="C71" t="str">
        <f>IF('Captura de Riesgos'!D71="","",'Captura de Riesgos'!D71)</f>
        <v/>
      </c>
    </row>
    <row r="72" spans="2:3" hidden="1" x14ac:dyDescent="0.4">
      <c r="B72" s="4">
        <v>64</v>
      </c>
      <c r="C72" t="str">
        <f>IF('Captura de Riesgos'!D72="","",'Captura de Riesgos'!D72)</f>
        <v/>
      </c>
    </row>
    <row r="73" spans="2:3" hidden="1" x14ac:dyDescent="0.4">
      <c r="B73" s="4">
        <v>65</v>
      </c>
      <c r="C73" t="str">
        <f>IF('Captura de Riesgos'!D73="","",'Captura de Riesgos'!D73)</f>
        <v/>
      </c>
    </row>
    <row r="74" spans="2:3" hidden="1" x14ac:dyDescent="0.4">
      <c r="B74" s="4">
        <v>66</v>
      </c>
      <c r="C74" t="str">
        <f>IF('Captura de Riesgos'!D74="","",'Captura de Riesgos'!D74)</f>
        <v/>
      </c>
    </row>
    <row r="75" spans="2:3" hidden="1" x14ac:dyDescent="0.4">
      <c r="B75" s="4">
        <v>67</v>
      </c>
      <c r="C75" t="str">
        <f>IF('Captura de Riesgos'!D75="","",'Captura de Riesgos'!D75)</f>
        <v/>
      </c>
    </row>
    <row r="76" spans="2:3" hidden="1" x14ac:dyDescent="0.4">
      <c r="B76" s="4">
        <v>68</v>
      </c>
      <c r="C76" t="str">
        <f>IF('Captura de Riesgos'!D76="","",'Captura de Riesgos'!D76)</f>
        <v/>
      </c>
    </row>
    <row r="77" spans="2:3" hidden="1" x14ac:dyDescent="0.4">
      <c r="B77" s="4">
        <v>69</v>
      </c>
      <c r="C77" t="str">
        <f>IF('Captura de Riesgos'!D77="","",'Captura de Riesgos'!D77)</f>
        <v/>
      </c>
    </row>
    <row r="78" spans="2:3" hidden="1" x14ac:dyDescent="0.4">
      <c r="B78" s="4">
        <v>70</v>
      </c>
      <c r="C78" t="str">
        <f>IF('Captura de Riesgos'!D78="","",'Captura de Riesgos'!D78)</f>
        <v/>
      </c>
    </row>
    <row r="79" spans="2:3" hidden="1" x14ac:dyDescent="0.4">
      <c r="B79" s="4">
        <v>71</v>
      </c>
      <c r="C79" t="str">
        <f>IF('Captura de Riesgos'!D79="","",'Captura de Riesgos'!D79)</f>
        <v/>
      </c>
    </row>
    <row r="80" spans="2:3" hidden="1" x14ac:dyDescent="0.4">
      <c r="B80" s="4">
        <v>72</v>
      </c>
      <c r="C80" t="str">
        <f>IF('Captura de Riesgos'!D80="","",'Captura de Riesgos'!D80)</f>
        <v/>
      </c>
    </row>
    <row r="81" spans="2:3" hidden="1" x14ac:dyDescent="0.4">
      <c r="B81" s="4">
        <v>73</v>
      </c>
      <c r="C81" t="str">
        <f>IF('Captura de Riesgos'!D81="","",'Captura de Riesgos'!D81)</f>
        <v/>
      </c>
    </row>
    <row r="82" spans="2:3" hidden="1" x14ac:dyDescent="0.4">
      <c r="B82" s="4">
        <v>74</v>
      </c>
      <c r="C82" t="str">
        <f>IF('Captura de Riesgos'!D82="","",'Captura de Riesgos'!D82)</f>
        <v/>
      </c>
    </row>
    <row r="83" spans="2:3" hidden="1" x14ac:dyDescent="0.4">
      <c r="B83" s="4">
        <v>75</v>
      </c>
      <c r="C83" t="str">
        <f>IF('Captura de Riesgos'!D83="","",'Captura de Riesgos'!D83)</f>
        <v/>
      </c>
    </row>
    <row r="84" spans="2:3" hidden="1" x14ac:dyDescent="0.4">
      <c r="B84" s="4">
        <v>76</v>
      </c>
      <c r="C84" t="str">
        <f>IF('Captura de Riesgos'!D84="","",'Captura de Riesgos'!D84)</f>
        <v/>
      </c>
    </row>
    <row r="85" spans="2:3" hidden="1" x14ac:dyDescent="0.4">
      <c r="B85" s="4">
        <v>77</v>
      </c>
      <c r="C85" t="str">
        <f>IF('Captura de Riesgos'!D85="","",'Captura de Riesgos'!D85)</f>
        <v/>
      </c>
    </row>
    <row r="86" spans="2:3" hidden="1" x14ac:dyDescent="0.4">
      <c r="B86" s="4">
        <v>78</v>
      </c>
      <c r="C86" t="str">
        <f>IF('Captura de Riesgos'!D86="","",'Captura de Riesgos'!D86)</f>
        <v/>
      </c>
    </row>
    <row r="87" spans="2:3" hidden="1" x14ac:dyDescent="0.4">
      <c r="B87" s="4">
        <v>79</v>
      </c>
      <c r="C87" t="str">
        <f>IF('Captura de Riesgos'!D87="","",'Captura de Riesgos'!D87)</f>
        <v/>
      </c>
    </row>
    <row r="88" spans="2:3" hidden="1" x14ac:dyDescent="0.4">
      <c r="B88" s="4">
        <v>80</v>
      </c>
      <c r="C88" t="str">
        <f>IF('Captura de Riesgos'!D88="","",'Captura de Riesgos'!D88)</f>
        <v/>
      </c>
    </row>
    <row r="89" spans="2:3" hidden="1" x14ac:dyDescent="0.4">
      <c r="B89" s="4">
        <v>81</v>
      </c>
      <c r="C89" t="str">
        <f>IF('Captura de Riesgos'!D89="","",'Captura de Riesgos'!D89)</f>
        <v/>
      </c>
    </row>
    <row r="90" spans="2:3" hidden="1" x14ac:dyDescent="0.4">
      <c r="B90" s="4">
        <v>82</v>
      </c>
      <c r="C90" t="str">
        <f>IF('Captura de Riesgos'!D90="","",'Captura de Riesgos'!D90)</f>
        <v/>
      </c>
    </row>
    <row r="91" spans="2:3" hidden="1" x14ac:dyDescent="0.4">
      <c r="B91" s="4">
        <v>83</v>
      </c>
      <c r="C91" t="str">
        <f>IF('Captura de Riesgos'!D91="","",'Captura de Riesgos'!D91)</f>
        <v/>
      </c>
    </row>
    <row r="92" spans="2:3" hidden="1" x14ac:dyDescent="0.4">
      <c r="B92" s="4">
        <v>84</v>
      </c>
      <c r="C92" t="str">
        <f>IF('Captura de Riesgos'!D92="","",'Captura de Riesgos'!D92)</f>
        <v/>
      </c>
    </row>
    <row r="93" spans="2:3" hidden="1" x14ac:dyDescent="0.4">
      <c r="B93" s="4">
        <v>85</v>
      </c>
      <c r="C93" t="str">
        <f>IF('Captura de Riesgos'!D93="","",'Captura de Riesgos'!D93)</f>
        <v/>
      </c>
    </row>
    <row r="94" spans="2:3" hidden="1" x14ac:dyDescent="0.4">
      <c r="B94" s="4">
        <v>86</v>
      </c>
      <c r="C94" t="str">
        <f>IF('Captura de Riesgos'!D94="","",'Captura de Riesgos'!D94)</f>
        <v/>
      </c>
    </row>
    <row r="95" spans="2:3" hidden="1" x14ac:dyDescent="0.4">
      <c r="B95" s="4">
        <v>87</v>
      </c>
      <c r="C95" t="str">
        <f>IF('Captura de Riesgos'!D95="","",'Captura de Riesgos'!D95)</f>
        <v/>
      </c>
    </row>
    <row r="96" spans="2:3" hidden="1" x14ac:dyDescent="0.4">
      <c r="B96" s="4">
        <v>88</v>
      </c>
      <c r="C96" t="str">
        <f>IF('Captura de Riesgos'!D96="","",'Captura de Riesgos'!D96)</f>
        <v/>
      </c>
    </row>
    <row r="97" spans="2:3" hidden="1" x14ac:dyDescent="0.4">
      <c r="B97" s="4">
        <v>89</v>
      </c>
      <c r="C97" t="str">
        <f>IF('Captura de Riesgos'!D97="","",'Captura de Riesgos'!D97)</f>
        <v/>
      </c>
    </row>
    <row r="98" spans="2:3" hidden="1" x14ac:dyDescent="0.4">
      <c r="B98" s="4">
        <v>90</v>
      </c>
      <c r="C98" t="str">
        <f>IF('Captura de Riesgos'!D98="","",'Captura de Riesgos'!D98)</f>
        <v/>
      </c>
    </row>
    <row r="99" spans="2:3" hidden="1" x14ac:dyDescent="0.4">
      <c r="B99" s="4">
        <v>91</v>
      </c>
      <c r="C99" t="str">
        <f>IF('Captura de Riesgos'!D99="","",'Captura de Riesgos'!D99)</f>
        <v/>
      </c>
    </row>
    <row r="100" spans="2:3" hidden="1" x14ac:dyDescent="0.4">
      <c r="B100" s="4">
        <v>92</v>
      </c>
      <c r="C100" t="str">
        <f>IF('Captura de Riesgos'!D100="","",'Captura de Riesgos'!D100)</f>
        <v/>
      </c>
    </row>
    <row r="101" spans="2:3" hidden="1" x14ac:dyDescent="0.4">
      <c r="B101" s="4">
        <v>93</v>
      </c>
      <c r="C101" t="str">
        <f>IF('Captura de Riesgos'!D101="","",'Captura de Riesgos'!D101)</f>
        <v/>
      </c>
    </row>
    <row r="102" spans="2:3" hidden="1" x14ac:dyDescent="0.4">
      <c r="B102" s="4">
        <v>94</v>
      </c>
      <c r="C102" t="str">
        <f>IF('Captura de Riesgos'!D102="","",'Captura de Riesgos'!D102)</f>
        <v/>
      </c>
    </row>
    <row r="103" spans="2:3" hidden="1" x14ac:dyDescent="0.4">
      <c r="B103" s="4">
        <v>95</v>
      </c>
      <c r="C103" t="str">
        <f>IF('Captura de Riesgos'!D103="","",'Captura de Riesgos'!D103)</f>
        <v/>
      </c>
    </row>
    <row r="104" spans="2:3" hidden="1" x14ac:dyDescent="0.4">
      <c r="B104" s="4">
        <v>96</v>
      </c>
      <c r="C104" t="str">
        <f>IF('Captura de Riesgos'!D104="","",'Captura de Riesgos'!D104)</f>
        <v/>
      </c>
    </row>
    <row r="105" spans="2:3" hidden="1" x14ac:dyDescent="0.4">
      <c r="B105" s="4">
        <v>97</v>
      </c>
      <c r="C105" t="str">
        <f>IF('Captura de Riesgos'!D105="","",'Captura de Riesgos'!D105)</f>
        <v/>
      </c>
    </row>
    <row r="106" spans="2:3" hidden="1" x14ac:dyDescent="0.4">
      <c r="B106" s="4">
        <v>98</v>
      </c>
      <c r="C106" t="str">
        <f>IF('Captura de Riesgos'!D106="","",'Captura de Riesgos'!D106)</f>
        <v/>
      </c>
    </row>
    <row r="107" spans="2:3" hidden="1" x14ac:dyDescent="0.4">
      <c r="B107" s="4">
        <v>99</v>
      </c>
      <c r="C107" t="str">
        <f>IF('Captura de Riesgos'!D107="","",'Captura de Riesgos'!D107)</f>
        <v/>
      </c>
    </row>
    <row r="108" spans="2:3" hidden="1" x14ac:dyDescent="0.4">
      <c r="B108" s="4">
        <v>100</v>
      </c>
      <c r="C108" t="str">
        <f>IF('Captura de Riesgos'!D108="","",'Captura de Riesgos'!D108)</f>
        <v/>
      </c>
    </row>
  </sheetData>
  <mergeCells count="2">
    <mergeCell ref="C2:F2"/>
    <mergeCell ref="D3:E3"/>
  </mergeCells>
  <dataValidations count="1">
    <dataValidation type="list" allowBlank="1" showInputMessage="1" showErrorMessage="1" errorTitle="Error de Captura" error="Solo pueden seleccionarse los análisis predeterminados de la lista." promptTitle="Ayuda de Captura" prompt="Seleccione o introduzca el tipo de análisis cuantitativo realizado para evaluar el riesgo." sqref="D9:D108" xr:uid="{00000000-0002-0000-0300-000000000000}">
      <formula1>TipoAnalisis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Menu">
                <anchor moveWithCells="1" sizeWithCells="1">
                  <from>
                    <xdr:col>5</xdr:col>
                    <xdr:colOff>1812471</xdr:colOff>
                    <xdr:row>5</xdr:row>
                    <xdr:rowOff>81643</xdr:rowOff>
                  </from>
                  <to>
                    <xdr:col>6</xdr:col>
                    <xdr:colOff>0</xdr:colOff>
                    <xdr:row>6</xdr:row>
                    <xdr:rowOff>130629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8"/>
  </sheetPr>
  <dimension ref="A2:L108"/>
  <sheetViews>
    <sheetView showGridLines="0" showRowColHeaders="0" topLeftCell="A2" workbookViewId="0">
      <selection activeCell="K9" sqref="K9"/>
    </sheetView>
  </sheetViews>
  <sheetFormatPr baseColWidth="10" defaultColWidth="0" defaultRowHeight="14.6" zeroHeight="1" x14ac:dyDescent="0.4"/>
  <cols>
    <col min="1" max="1" width="1.69140625" customWidth="1"/>
    <col min="2" max="2" width="5.4609375" customWidth="1"/>
    <col min="3" max="3" width="32.4609375" customWidth="1"/>
    <col min="4" max="4" width="18" customWidth="1"/>
    <col min="5" max="5" width="12.15234375" customWidth="1"/>
    <col min="6" max="6" width="10.4609375" customWidth="1"/>
    <col min="7" max="7" width="12.4609375" customWidth="1"/>
    <col min="8" max="8" width="13.15234375" customWidth="1"/>
    <col min="9" max="9" width="22.53515625" customWidth="1"/>
    <col min="10" max="10" width="16" customWidth="1"/>
    <col min="11" max="11" width="14.4609375" customWidth="1"/>
    <col min="12" max="12" width="1.69140625" customWidth="1"/>
    <col min="13" max="13" width="11.4609375" hidden="1" customWidth="1"/>
    <col min="14" max="16384" width="11.4609375" hidden="1"/>
  </cols>
  <sheetData>
    <row r="2" spans="2:11" ht="21" customHeight="1" x14ac:dyDescent="0.55000000000000004">
      <c r="C2" s="20" t="s">
        <v>83</v>
      </c>
      <c r="D2" s="21"/>
      <c r="E2" s="21"/>
      <c r="F2" s="21"/>
      <c r="G2" s="21"/>
      <c r="H2" s="21"/>
      <c r="I2" s="21"/>
      <c r="J2" s="21"/>
      <c r="K2" s="21"/>
    </row>
    <row r="4" spans="2:11" ht="18.55" customHeight="1" x14ac:dyDescent="0.5">
      <c r="C4" s="15" t="s">
        <v>52</v>
      </c>
      <c r="D4" s="25" t="str">
        <f>IF('Captura de Riesgos'!D3&lt;&gt;"",'Captura de Riesgos'!D3,"")</f>
        <v/>
      </c>
      <c r="E4" s="21"/>
      <c r="F4" s="21"/>
      <c r="G4" s="21"/>
      <c r="H4" s="21"/>
      <c r="I4" s="21"/>
      <c r="J4" s="21"/>
    </row>
    <row r="8" spans="2:11" s="6" customFormat="1" ht="29.05" customHeight="1" x14ac:dyDescent="0.4">
      <c r="B8" s="5" t="s">
        <v>54</v>
      </c>
      <c r="C8" s="5" t="s">
        <v>56</v>
      </c>
      <c r="D8" s="5" t="s">
        <v>84</v>
      </c>
      <c r="E8" s="5" t="s">
        <v>85</v>
      </c>
      <c r="F8" s="5" t="s">
        <v>86</v>
      </c>
      <c r="G8" s="5" t="s">
        <v>87</v>
      </c>
      <c r="H8" s="5" t="s">
        <v>88</v>
      </c>
      <c r="I8" s="5" t="s">
        <v>89</v>
      </c>
      <c r="J8" s="5" t="s">
        <v>90</v>
      </c>
      <c r="K8" s="5" t="s">
        <v>91</v>
      </c>
    </row>
    <row r="9" spans="2:11" ht="29.05" customHeight="1" x14ac:dyDescent="0.4">
      <c r="B9" s="4">
        <v>1</v>
      </c>
      <c r="C9" s="1" t="str">
        <f>IF('Captura de Riesgos'!D9="","",'Captura de Riesgos'!D9)</f>
        <v>Subrepresentación de la muestra en encuestas</v>
      </c>
      <c r="D9" s="1" t="s">
        <v>23</v>
      </c>
      <c r="E9" s="1" t="s">
        <v>31</v>
      </c>
      <c r="F9" s="1" t="s">
        <v>25</v>
      </c>
      <c r="G9" s="1" t="s">
        <v>26</v>
      </c>
      <c r="H9" s="1" t="s">
        <v>92</v>
      </c>
      <c r="I9" s="1" t="s">
        <v>93</v>
      </c>
      <c r="J9" s="1" t="s">
        <v>94</v>
      </c>
      <c r="K9" s="1" t="s">
        <v>95</v>
      </c>
    </row>
    <row r="10" spans="2:11" ht="29.05" customHeight="1" x14ac:dyDescent="0.4">
      <c r="B10" s="4">
        <v>2</v>
      </c>
      <c r="C10" s="1" t="str">
        <f>IF('Captura de Riesgos'!D10="","",'Captura de Riesgos'!D10)</f>
        <v>Integridad y ruido en datos recolectados (spam/duplicados)</v>
      </c>
      <c r="D10" s="1" t="s">
        <v>23</v>
      </c>
      <c r="E10" s="1" t="s">
        <v>31</v>
      </c>
      <c r="F10" s="1" t="s">
        <v>25</v>
      </c>
      <c r="G10" s="1" t="s">
        <v>26</v>
      </c>
      <c r="H10" s="1" t="s">
        <v>96</v>
      </c>
      <c r="I10" s="1" t="s">
        <v>97</v>
      </c>
      <c r="J10" s="1" t="s">
        <v>98</v>
      </c>
      <c r="K10" s="1" t="s">
        <v>99</v>
      </c>
    </row>
    <row r="11" spans="2:11" ht="72.900000000000006" x14ac:dyDescent="0.4">
      <c r="B11" s="4">
        <v>3</v>
      </c>
      <c r="C11" s="1" t="str">
        <f>IF('Captura de Riesgos'!D11="","",'Captura de Riesgos'!D11)</f>
        <v>Falla de infraestructura crítica (equipos de cómputo)</v>
      </c>
      <c r="D11" s="1" t="s">
        <v>30</v>
      </c>
      <c r="E11" s="1" t="s">
        <v>31</v>
      </c>
      <c r="F11" s="1" t="s">
        <v>25</v>
      </c>
      <c r="G11" s="1" t="s">
        <v>26</v>
      </c>
      <c r="H11" s="1" t="s">
        <v>100</v>
      </c>
      <c r="I11" s="1" t="s">
        <v>101</v>
      </c>
      <c r="J11" s="1" t="s">
        <v>102</v>
      </c>
      <c r="K11" s="1" t="s">
        <v>103</v>
      </c>
    </row>
    <row r="12" spans="2:11" ht="87.45" x14ac:dyDescent="0.4">
      <c r="B12" s="4">
        <v>4</v>
      </c>
      <c r="C12" s="1" t="str">
        <f>IF('Captura de Riesgos'!D12="","",'Captura de Riesgos'!D12)</f>
        <v>Compromiso de privacidad y anonimato de participantes</v>
      </c>
      <c r="D12" s="1" t="s">
        <v>23</v>
      </c>
      <c r="E12" s="1" t="s">
        <v>24</v>
      </c>
      <c r="F12" s="1" t="s">
        <v>25</v>
      </c>
      <c r="G12" s="1" t="s">
        <v>26</v>
      </c>
      <c r="H12" s="1" t="s">
        <v>104</v>
      </c>
      <c r="I12" s="1" t="s">
        <v>105</v>
      </c>
      <c r="J12" s="1" t="s">
        <v>106</v>
      </c>
      <c r="K12" s="1" t="s">
        <v>103</v>
      </c>
    </row>
    <row r="13" spans="2:11" ht="87.45" x14ac:dyDescent="0.4">
      <c r="B13" s="4">
        <v>5</v>
      </c>
      <c r="C13" s="1" t="str">
        <f>IF('Captura de Riesgos'!D13="","",'Captura de Riesgos'!D13)</f>
        <v>Cuello de botella en ruta crítica – desarrollo Dashboard</v>
      </c>
      <c r="D13" s="1" t="s">
        <v>37</v>
      </c>
      <c r="E13" s="1" t="s">
        <v>31</v>
      </c>
      <c r="F13" s="1" t="s">
        <v>25</v>
      </c>
      <c r="G13" s="1" t="s">
        <v>33</v>
      </c>
      <c r="H13" s="1" t="s">
        <v>107</v>
      </c>
      <c r="I13" s="1" t="s">
        <v>108</v>
      </c>
      <c r="J13" s="1" t="s">
        <v>109</v>
      </c>
      <c r="K13" s="1" t="s">
        <v>99</v>
      </c>
    </row>
    <row r="14" spans="2:11" ht="72.900000000000006" x14ac:dyDescent="0.4">
      <c r="B14" s="4">
        <v>6</v>
      </c>
      <c r="C14" s="1" t="str">
        <f>IF('Captura de Riesgos'!D14="","",'Captura de Riesgos'!D14)</f>
        <v>Baja permisividad institucional para colocar códigos QR</v>
      </c>
      <c r="D14" s="1" t="s">
        <v>23</v>
      </c>
      <c r="E14" s="1" t="s">
        <v>31</v>
      </c>
      <c r="F14" s="1" t="s">
        <v>25</v>
      </c>
      <c r="G14" s="1" t="s">
        <v>26</v>
      </c>
      <c r="H14" s="1" t="s">
        <v>110</v>
      </c>
      <c r="I14" s="1" t="s">
        <v>111</v>
      </c>
      <c r="J14" s="1" t="s">
        <v>112</v>
      </c>
      <c r="K14" s="1" t="s">
        <v>103</v>
      </c>
    </row>
    <row r="15" spans="2:11" ht="102" x14ac:dyDescent="0.4">
      <c r="B15" s="4">
        <v>7</v>
      </c>
      <c r="C15" s="1" t="str">
        <f>IF('Captura de Riesgos'!D15="","",'Captura de Riesgos'!D15)</f>
        <v>Dependencia de plataformas de hosting externas</v>
      </c>
      <c r="D15" s="1" t="s">
        <v>23</v>
      </c>
      <c r="E15" s="1" t="s">
        <v>31</v>
      </c>
      <c r="F15" s="1" t="s">
        <v>32</v>
      </c>
      <c r="G15" s="1" t="s">
        <v>33</v>
      </c>
      <c r="H15" s="1" t="s">
        <v>113</v>
      </c>
      <c r="I15" s="1" t="s">
        <v>114</v>
      </c>
      <c r="J15" s="1" t="s">
        <v>115</v>
      </c>
      <c r="K15" s="1" t="s">
        <v>95</v>
      </c>
    </row>
    <row r="16" spans="2:11" ht="102" x14ac:dyDescent="0.4">
      <c r="B16" s="4">
        <v>8</v>
      </c>
      <c r="C16" s="1" t="str">
        <f>IF('Captura de Riesgos'!D16="","",'Captura de Riesgos'!D16)</f>
        <v>Sesgo en las respuestas por grupos de interés</v>
      </c>
      <c r="D16" s="1" t="s">
        <v>23</v>
      </c>
      <c r="E16" s="1" t="s">
        <v>31</v>
      </c>
      <c r="F16" s="1" t="s">
        <v>25</v>
      </c>
      <c r="G16" s="1" t="s">
        <v>26</v>
      </c>
      <c r="H16" s="1" t="s">
        <v>116</v>
      </c>
      <c r="I16" s="1" t="s">
        <v>117</v>
      </c>
      <c r="J16" s="1" t="s">
        <v>118</v>
      </c>
      <c r="K16" s="1" t="s">
        <v>95</v>
      </c>
    </row>
    <row r="17" spans="2:11" ht="87.45" x14ac:dyDescent="0.4">
      <c r="B17" s="4">
        <v>9</v>
      </c>
      <c r="C17" s="1" t="str">
        <f>IF('Captura de Riesgos'!D17="","",'Captura de Riesgos'!D17)</f>
        <v>Rotación o baja de un miembro clave del equipo</v>
      </c>
      <c r="D17" s="1" t="s">
        <v>23</v>
      </c>
      <c r="E17" s="1" t="s">
        <v>31</v>
      </c>
      <c r="F17" s="1" t="s">
        <v>25</v>
      </c>
      <c r="G17" s="1" t="s">
        <v>26</v>
      </c>
      <c r="H17" s="1" t="s">
        <v>119</v>
      </c>
      <c r="I17" s="1" t="s">
        <v>120</v>
      </c>
      <c r="J17" s="1" t="s">
        <v>121</v>
      </c>
      <c r="K17" s="1" t="s">
        <v>103</v>
      </c>
    </row>
    <row r="18" spans="2:11" ht="87.45" x14ac:dyDescent="0.4">
      <c r="B18" s="4">
        <v>10</v>
      </c>
      <c r="C18" s="1" t="str">
        <f>IF('Captura de Riesgos'!D18="","",'Captura de Riesgos'!D18)</f>
        <v>Desajuste en el presupuesto por alza en costo de hardware</v>
      </c>
      <c r="D18" s="1" t="s">
        <v>30</v>
      </c>
      <c r="E18" s="1" t="s">
        <v>38</v>
      </c>
      <c r="F18" s="1" t="s">
        <v>25</v>
      </c>
      <c r="G18" s="1" t="s">
        <v>40</v>
      </c>
      <c r="H18" s="1" t="s">
        <v>122</v>
      </c>
      <c r="I18" s="1" t="s">
        <v>123</v>
      </c>
      <c r="J18" s="1" t="s">
        <v>124</v>
      </c>
      <c r="K18" s="1" t="s">
        <v>103</v>
      </c>
    </row>
    <row r="19" spans="2:11" ht="102" x14ac:dyDescent="0.4">
      <c r="B19" s="4">
        <v>11</v>
      </c>
      <c r="C19" s="1" t="str">
        <f>IF('Captura de Riesgos'!D19="","",'Captura de Riesgos'!D19)</f>
        <v>Falta de validación estadística del instrumento (encuesta)</v>
      </c>
      <c r="D19" s="1" t="s">
        <v>23</v>
      </c>
      <c r="E19" s="1" t="s">
        <v>31</v>
      </c>
      <c r="F19" s="1" t="s">
        <v>25</v>
      </c>
      <c r="G19" s="1" t="s">
        <v>26</v>
      </c>
      <c r="H19" s="1" t="s">
        <v>125</v>
      </c>
      <c r="I19" s="1" t="s">
        <v>126</v>
      </c>
      <c r="J19" s="1" t="s">
        <v>127</v>
      </c>
      <c r="K19" s="1" t="s">
        <v>95</v>
      </c>
    </row>
    <row r="20" spans="2:11" ht="87.45" x14ac:dyDescent="0.4">
      <c r="B20" s="4">
        <v>12</v>
      </c>
      <c r="C20" s="1" t="str">
        <f>IF('Captura de Riesgos'!D20="","",'Captura de Riesgos'!D20)</f>
        <v>Incumplimiento de plazos en la fase de análisis EDA</v>
      </c>
      <c r="D20" s="1" t="s">
        <v>23</v>
      </c>
      <c r="E20" s="1" t="s">
        <v>31</v>
      </c>
      <c r="F20" s="1" t="s">
        <v>25</v>
      </c>
      <c r="G20" s="1" t="s">
        <v>33</v>
      </c>
      <c r="H20" s="1" t="s">
        <v>128</v>
      </c>
      <c r="I20" s="1" t="s">
        <v>129</v>
      </c>
      <c r="J20" s="1" t="s">
        <v>130</v>
      </c>
      <c r="K20" s="1" t="s">
        <v>99</v>
      </c>
    </row>
    <row r="21" spans="2:11" ht="87.45" x14ac:dyDescent="0.4">
      <c r="B21" s="4">
        <v>13</v>
      </c>
      <c r="C21" s="1" t="str">
        <f>IF('Captura de Riesgos'!D21="","",'Captura de Riesgos'!D21)</f>
        <v>Pérdida o corrupción de datos durante el proceso ETL</v>
      </c>
      <c r="D21" s="1" t="s">
        <v>30</v>
      </c>
      <c r="E21" s="1" t="s">
        <v>31</v>
      </c>
      <c r="F21" s="1" t="s">
        <v>25</v>
      </c>
      <c r="G21" s="1" t="s">
        <v>26</v>
      </c>
      <c r="H21" s="1" t="s">
        <v>131</v>
      </c>
      <c r="I21" s="1" t="s">
        <v>132</v>
      </c>
      <c r="J21" s="1" t="s">
        <v>133</v>
      </c>
      <c r="K21" s="1" t="s">
        <v>99</v>
      </c>
    </row>
    <row r="22" spans="2:11" ht="116.6" x14ac:dyDescent="0.4">
      <c r="B22" s="4">
        <v>14</v>
      </c>
      <c r="C22" s="1" t="str">
        <f>IF('Captura de Riesgos'!D22="","",'Captura de Riesgos'!D22)</f>
        <v>Rechazo o baja adopción del dashboard por la administración</v>
      </c>
      <c r="D22" s="1" t="s">
        <v>23</v>
      </c>
      <c r="E22" s="1" t="s">
        <v>31</v>
      </c>
      <c r="F22" s="1" t="s">
        <v>32</v>
      </c>
      <c r="G22" s="1" t="s">
        <v>33</v>
      </c>
      <c r="H22" s="1" t="s">
        <v>134</v>
      </c>
      <c r="I22" s="1" t="s">
        <v>135</v>
      </c>
      <c r="J22" s="1" t="s">
        <v>136</v>
      </c>
      <c r="K22" s="1" t="s">
        <v>103</v>
      </c>
    </row>
    <row r="23" spans="2:11" ht="102" x14ac:dyDescent="0.4">
      <c r="B23" s="4">
        <v>15</v>
      </c>
      <c r="C23" s="1" t="str">
        <f>IF('Captura de Riesgos'!D23="","",'Captura de Riesgos'!D23)</f>
        <v>Conflicto de intereses con concesionarios al publicar resultados</v>
      </c>
      <c r="D23" s="1" t="s">
        <v>23</v>
      </c>
      <c r="E23" s="1" t="s">
        <v>42</v>
      </c>
      <c r="F23" s="1" t="s">
        <v>25</v>
      </c>
      <c r="G23" s="1" t="s">
        <v>26</v>
      </c>
      <c r="H23" s="1" t="s">
        <v>137</v>
      </c>
      <c r="I23" s="1" t="s">
        <v>138</v>
      </c>
      <c r="J23" s="1" t="s">
        <v>139</v>
      </c>
      <c r="K23" s="1" t="s">
        <v>103</v>
      </c>
    </row>
    <row r="24" spans="2:11" hidden="1" x14ac:dyDescent="0.4">
      <c r="B24" s="4">
        <v>16</v>
      </c>
      <c r="C24" t="str">
        <f>IF('Captura de Riesgos'!D24="","",'Captura de Riesgos'!D24)</f>
        <v/>
      </c>
    </row>
    <row r="25" spans="2:11" hidden="1" x14ac:dyDescent="0.4">
      <c r="B25" s="4">
        <v>17</v>
      </c>
      <c r="C25" t="str">
        <f>IF('Captura de Riesgos'!D25="","",'Captura de Riesgos'!D25)</f>
        <v/>
      </c>
    </row>
    <row r="26" spans="2:11" hidden="1" x14ac:dyDescent="0.4">
      <c r="B26" s="4">
        <v>18</v>
      </c>
      <c r="C26" t="str">
        <f>IF('Captura de Riesgos'!D26="","",'Captura de Riesgos'!D26)</f>
        <v/>
      </c>
    </row>
    <row r="27" spans="2:11" hidden="1" x14ac:dyDescent="0.4">
      <c r="B27" s="4">
        <v>19</v>
      </c>
      <c r="C27" t="str">
        <f>IF('Captura de Riesgos'!D27="","",'Captura de Riesgos'!D27)</f>
        <v/>
      </c>
    </row>
    <row r="28" spans="2:11" hidden="1" x14ac:dyDescent="0.4">
      <c r="B28" s="4">
        <v>20</v>
      </c>
      <c r="C28" t="str">
        <f>IF('Captura de Riesgos'!D28="","",'Captura de Riesgos'!D28)</f>
        <v/>
      </c>
    </row>
    <row r="29" spans="2:11" hidden="1" x14ac:dyDescent="0.4">
      <c r="B29" s="4">
        <v>21</v>
      </c>
      <c r="C29" t="str">
        <f>IF('Captura de Riesgos'!D29="","",'Captura de Riesgos'!D29)</f>
        <v/>
      </c>
    </row>
    <row r="30" spans="2:11" hidden="1" x14ac:dyDescent="0.4">
      <c r="B30" s="4">
        <v>22</v>
      </c>
      <c r="C30" t="str">
        <f>IF('Captura de Riesgos'!D30="","",'Captura de Riesgos'!D30)</f>
        <v/>
      </c>
    </row>
    <row r="31" spans="2:11" hidden="1" x14ac:dyDescent="0.4">
      <c r="B31" s="4">
        <v>23</v>
      </c>
      <c r="C31" t="str">
        <f>IF('Captura de Riesgos'!D31="","",'Captura de Riesgos'!D31)</f>
        <v/>
      </c>
    </row>
    <row r="32" spans="2:11" hidden="1" x14ac:dyDescent="0.4">
      <c r="B32" s="4">
        <v>24</v>
      </c>
      <c r="C32" t="str">
        <f>IF('Captura de Riesgos'!D32="","",'Captura de Riesgos'!D32)</f>
        <v/>
      </c>
    </row>
    <row r="33" spans="2:3" hidden="1" x14ac:dyDescent="0.4">
      <c r="B33" s="4">
        <v>25</v>
      </c>
      <c r="C33" t="str">
        <f>IF('Captura de Riesgos'!D33="","",'Captura de Riesgos'!D33)</f>
        <v/>
      </c>
    </row>
    <row r="34" spans="2:3" hidden="1" x14ac:dyDescent="0.4">
      <c r="B34" s="4">
        <v>26</v>
      </c>
      <c r="C34" t="str">
        <f>IF('Captura de Riesgos'!D34="","",'Captura de Riesgos'!D34)</f>
        <v/>
      </c>
    </row>
    <row r="35" spans="2:3" hidden="1" x14ac:dyDescent="0.4">
      <c r="B35" s="4">
        <v>27</v>
      </c>
      <c r="C35" t="str">
        <f>IF('Captura de Riesgos'!D35="","",'Captura de Riesgos'!D35)</f>
        <v/>
      </c>
    </row>
    <row r="36" spans="2:3" hidden="1" x14ac:dyDescent="0.4">
      <c r="B36" s="4">
        <v>28</v>
      </c>
      <c r="C36" t="str">
        <f>IF('Captura de Riesgos'!D36="","",'Captura de Riesgos'!D36)</f>
        <v/>
      </c>
    </row>
    <row r="37" spans="2:3" hidden="1" x14ac:dyDescent="0.4">
      <c r="B37" s="4">
        <v>29</v>
      </c>
      <c r="C37" t="str">
        <f>IF('Captura de Riesgos'!D37="","",'Captura de Riesgos'!D37)</f>
        <v/>
      </c>
    </row>
    <row r="38" spans="2:3" hidden="1" x14ac:dyDescent="0.4">
      <c r="B38" s="4">
        <v>30</v>
      </c>
      <c r="C38" t="str">
        <f>IF('Captura de Riesgos'!D38="","",'Captura de Riesgos'!D38)</f>
        <v/>
      </c>
    </row>
    <row r="39" spans="2:3" hidden="1" x14ac:dyDescent="0.4">
      <c r="B39" s="4">
        <v>31</v>
      </c>
      <c r="C39" t="str">
        <f>IF('Captura de Riesgos'!D39="","",'Captura de Riesgos'!D39)</f>
        <v/>
      </c>
    </row>
    <row r="40" spans="2:3" hidden="1" x14ac:dyDescent="0.4">
      <c r="B40" s="4">
        <v>32</v>
      </c>
      <c r="C40" t="str">
        <f>IF('Captura de Riesgos'!D40="","",'Captura de Riesgos'!D40)</f>
        <v/>
      </c>
    </row>
    <row r="41" spans="2:3" hidden="1" x14ac:dyDescent="0.4">
      <c r="B41" s="4">
        <v>33</v>
      </c>
      <c r="C41" t="str">
        <f>IF('Captura de Riesgos'!D41="","",'Captura de Riesgos'!D41)</f>
        <v/>
      </c>
    </row>
    <row r="42" spans="2:3" hidden="1" x14ac:dyDescent="0.4">
      <c r="B42" s="4">
        <v>34</v>
      </c>
      <c r="C42" t="str">
        <f>IF('Captura de Riesgos'!D42="","",'Captura de Riesgos'!D42)</f>
        <v/>
      </c>
    </row>
    <row r="43" spans="2:3" hidden="1" x14ac:dyDescent="0.4">
      <c r="B43" s="4">
        <v>35</v>
      </c>
      <c r="C43" t="str">
        <f>IF('Captura de Riesgos'!D43="","",'Captura de Riesgos'!D43)</f>
        <v/>
      </c>
    </row>
    <row r="44" spans="2:3" hidden="1" x14ac:dyDescent="0.4">
      <c r="B44" s="4">
        <v>36</v>
      </c>
      <c r="C44" t="str">
        <f>IF('Captura de Riesgos'!D44="","",'Captura de Riesgos'!D44)</f>
        <v/>
      </c>
    </row>
    <row r="45" spans="2:3" hidden="1" x14ac:dyDescent="0.4">
      <c r="B45" s="4">
        <v>37</v>
      </c>
      <c r="C45" t="str">
        <f>IF('Captura de Riesgos'!D45="","",'Captura de Riesgos'!D45)</f>
        <v/>
      </c>
    </row>
    <row r="46" spans="2:3" hidden="1" x14ac:dyDescent="0.4">
      <c r="B46" s="4">
        <v>38</v>
      </c>
      <c r="C46" t="str">
        <f>IF('Captura de Riesgos'!D46="","",'Captura de Riesgos'!D46)</f>
        <v/>
      </c>
    </row>
    <row r="47" spans="2:3" hidden="1" x14ac:dyDescent="0.4">
      <c r="B47" s="4">
        <v>39</v>
      </c>
      <c r="C47" t="str">
        <f>IF('Captura de Riesgos'!D47="","",'Captura de Riesgos'!D47)</f>
        <v/>
      </c>
    </row>
    <row r="48" spans="2:3" hidden="1" x14ac:dyDescent="0.4">
      <c r="B48" s="4">
        <v>40</v>
      </c>
      <c r="C48" t="str">
        <f>IF('Captura de Riesgos'!D48="","",'Captura de Riesgos'!D48)</f>
        <v/>
      </c>
    </row>
    <row r="49" spans="2:3" hidden="1" x14ac:dyDescent="0.4">
      <c r="B49" s="4">
        <v>41</v>
      </c>
      <c r="C49" t="str">
        <f>IF('Captura de Riesgos'!D49="","",'Captura de Riesgos'!D49)</f>
        <v/>
      </c>
    </row>
    <row r="50" spans="2:3" hidden="1" x14ac:dyDescent="0.4">
      <c r="B50" s="4">
        <v>42</v>
      </c>
      <c r="C50" t="str">
        <f>IF('Captura de Riesgos'!D50="","",'Captura de Riesgos'!D50)</f>
        <v/>
      </c>
    </row>
    <row r="51" spans="2:3" hidden="1" x14ac:dyDescent="0.4">
      <c r="B51" s="4">
        <v>43</v>
      </c>
      <c r="C51" t="str">
        <f>IF('Captura de Riesgos'!D51="","",'Captura de Riesgos'!D51)</f>
        <v/>
      </c>
    </row>
    <row r="52" spans="2:3" hidden="1" x14ac:dyDescent="0.4">
      <c r="B52" s="4">
        <v>44</v>
      </c>
      <c r="C52" t="str">
        <f>IF('Captura de Riesgos'!D52="","",'Captura de Riesgos'!D52)</f>
        <v/>
      </c>
    </row>
    <row r="53" spans="2:3" hidden="1" x14ac:dyDescent="0.4">
      <c r="B53" s="4">
        <v>45</v>
      </c>
      <c r="C53" t="str">
        <f>IF('Captura de Riesgos'!D53="","",'Captura de Riesgos'!D53)</f>
        <v/>
      </c>
    </row>
    <row r="54" spans="2:3" hidden="1" x14ac:dyDescent="0.4">
      <c r="B54" s="4">
        <v>46</v>
      </c>
      <c r="C54" t="str">
        <f>IF('Captura de Riesgos'!D54="","",'Captura de Riesgos'!D54)</f>
        <v/>
      </c>
    </row>
    <row r="55" spans="2:3" hidden="1" x14ac:dyDescent="0.4">
      <c r="B55" s="4">
        <v>47</v>
      </c>
      <c r="C55" t="str">
        <f>IF('Captura de Riesgos'!D55="","",'Captura de Riesgos'!D55)</f>
        <v/>
      </c>
    </row>
    <row r="56" spans="2:3" hidden="1" x14ac:dyDescent="0.4">
      <c r="B56" s="4">
        <v>48</v>
      </c>
      <c r="C56" t="str">
        <f>IF('Captura de Riesgos'!D56="","",'Captura de Riesgos'!D56)</f>
        <v/>
      </c>
    </row>
    <row r="57" spans="2:3" hidden="1" x14ac:dyDescent="0.4">
      <c r="B57" s="4">
        <v>49</v>
      </c>
      <c r="C57" t="str">
        <f>IF('Captura de Riesgos'!D57="","",'Captura de Riesgos'!D57)</f>
        <v/>
      </c>
    </row>
    <row r="58" spans="2:3" hidden="1" x14ac:dyDescent="0.4">
      <c r="B58" s="4">
        <v>50</v>
      </c>
      <c r="C58" t="str">
        <f>IF('Captura de Riesgos'!D58="","",'Captura de Riesgos'!D58)</f>
        <v/>
      </c>
    </row>
    <row r="59" spans="2:3" hidden="1" x14ac:dyDescent="0.4">
      <c r="B59" s="4">
        <v>51</v>
      </c>
      <c r="C59" t="str">
        <f>IF('Captura de Riesgos'!D59="","",'Captura de Riesgos'!D59)</f>
        <v/>
      </c>
    </row>
    <row r="60" spans="2:3" hidden="1" x14ac:dyDescent="0.4">
      <c r="B60" s="4">
        <v>52</v>
      </c>
      <c r="C60" t="str">
        <f>IF('Captura de Riesgos'!D60="","",'Captura de Riesgos'!D60)</f>
        <v/>
      </c>
    </row>
    <row r="61" spans="2:3" hidden="1" x14ac:dyDescent="0.4">
      <c r="B61" s="4">
        <v>53</v>
      </c>
      <c r="C61" t="str">
        <f>IF('Captura de Riesgos'!D61="","",'Captura de Riesgos'!D61)</f>
        <v/>
      </c>
    </row>
    <row r="62" spans="2:3" hidden="1" x14ac:dyDescent="0.4">
      <c r="B62" s="4">
        <v>54</v>
      </c>
      <c r="C62" t="str">
        <f>IF('Captura de Riesgos'!D62="","",'Captura de Riesgos'!D62)</f>
        <v/>
      </c>
    </row>
    <row r="63" spans="2:3" hidden="1" x14ac:dyDescent="0.4">
      <c r="B63" s="4">
        <v>55</v>
      </c>
      <c r="C63" t="str">
        <f>IF('Captura de Riesgos'!D63="","",'Captura de Riesgos'!D63)</f>
        <v/>
      </c>
    </row>
    <row r="64" spans="2:3" hidden="1" x14ac:dyDescent="0.4">
      <c r="B64" s="4">
        <v>56</v>
      </c>
      <c r="C64" t="str">
        <f>IF('Captura de Riesgos'!D64="","",'Captura de Riesgos'!D64)</f>
        <v/>
      </c>
    </row>
    <row r="65" spans="2:3" hidden="1" x14ac:dyDescent="0.4">
      <c r="B65" s="4">
        <v>57</v>
      </c>
      <c r="C65" t="str">
        <f>IF('Captura de Riesgos'!D65="","",'Captura de Riesgos'!D65)</f>
        <v/>
      </c>
    </row>
    <row r="66" spans="2:3" hidden="1" x14ac:dyDescent="0.4">
      <c r="B66" s="4">
        <v>58</v>
      </c>
      <c r="C66" t="str">
        <f>IF('Captura de Riesgos'!D66="","",'Captura de Riesgos'!D66)</f>
        <v/>
      </c>
    </row>
    <row r="67" spans="2:3" hidden="1" x14ac:dyDescent="0.4">
      <c r="B67" s="4">
        <v>59</v>
      </c>
      <c r="C67" t="str">
        <f>IF('Captura de Riesgos'!D67="","",'Captura de Riesgos'!D67)</f>
        <v/>
      </c>
    </row>
    <row r="68" spans="2:3" hidden="1" x14ac:dyDescent="0.4">
      <c r="B68" s="4">
        <v>60</v>
      </c>
      <c r="C68" t="str">
        <f>IF('Captura de Riesgos'!D68="","",'Captura de Riesgos'!D68)</f>
        <v/>
      </c>
    </row>
    <row r="69" spans="2:3" hidden="1" x14ac:dyDescent="0.4">
      <c r="B69" s="4">
        <v>61</v>
      </c>
      <c r="C69" t="str">
        <f>IF('Captura de Riesgos'!D69="","",'Captura de Riesgos'!D69)</f>
        <v/>
      </c>
    </row>
    <row r="70" spans="2:3" hidden="1" x14ac:dyDescent="0.4">
      <c r="B70" s="4">
        <v>62</v>
      </c>
      <c r="C70" t="str">
        <f>IF('Captura de Riesgos'!D70="","",'Captura de Riesgos'!D70)</f>
        <v/>
      </c>
    </row>
    <row r="71" spans="2:3" hidden="1" x14ac:dyDescent="0.4">
      <c r="B71" s="4">
        <v>63</v>
      </c>
      <c r="C71" t="str">
        <f>IF('Captura de Riesgos'!D71="","",'Captura de Riesgos'!D71)</f>
        <v/>
      </c>
    </row>
    <row r="72" spans="2:3" hidden="1" x14ac:dyDescent="0.4">
      <c r="B72" s="4">
        <v>64</v>
      </c>
      <c r="C72" t="str">
        <f>IF('Captura de Riesgos'!D72="","",'Captura de Riesgos'!D72)</f>
        <v/>
      </c>
    </row>
    <row r="73" spans="2:3" hidden="1" x14ac:dyDescent="0.4">
      <c r="B73" s="4">
        <v>65</v>
      </c>
      <c r="C73" t="str">
        <f>IF('Captura de Riesgos'!D73="","",'Captura de Riesgos'!D73)</f>
        <v/>
      </c>
    </row>
    <row r="74" spans="2:3" hidden="1" x14ac:dyDescent="0.4">
      <c r="B74" s="4">
        <v>66</v>
      </c>
      <c r="C74" t="str">
        <f>IF('Captura de Riesgos'!D74="","",'Captura de Riesgos'!D74)</f>
        <v/>
      </c>
    </row>
    <row r="75" spans="2:3" hidden="1" x14ac:dyDescent="0.4">
      <c r="B75" s="4">
        <v>67</v>
      </c>
      <c r="C75" t="str">
        <f>IF('Captura de Riesgos'!D75="","",'Captura de Riesgos'!D75)</f>
        <v/>
      </c>
    </row>
    <row r="76" spans="2:3" hidden="1" x14ac:dyDescent="0.4">
      <c r="B76" s="4">
        <v>68</v>
      </c>
      <c r="C76" t="str">
        <f>IF('Captura de Riesgos'!D76="","",'Captura de Riesgos'!D76)</f>
        <v/>
      </c>
    </row>
    <row r="77" spans="2:3" hidden="1" x14ac:dyDescent="0.4">
      <c r="B77" s="4">
        <v>69</v>
      </c>
      <c r="C77" t="str">
        <f>IF('Captura de Riesgos'!D77="","",'Captura de Riesgos'!D77)</f>
        <v/>
      </c>
    </row>
    <row r="78" spans="2:3" hidden="1" x14ac:dyDescent="0.4">
      <c r="B78" s="4">
        <v>70</v>
      </c>
      <c r="C78" t="str">
        <f>IF('Captura de Riesgos'!D78="","",'Captura de Riesgos'!D78)</f>
        <v/>
      </c>
    </row>
    <row r="79" spans="2:3" hidden="1" x14ac:dyDescent="0.4">
      <c r="B79" s="4">
        <v>71</v>
      </c>
      <c r="C79" t="str">
        <f>IF('Captura de Riesgos'!D79="","",'Captura de Riesgos'!D79)</f>
        <v/>
      </c>
    </row>
    <row r="80" spans="2:3" hidden="1" x14ac:dyDescent="0.4">
      <c r="B80" s="4">
        <v>72</v>
      </c>
      <c r="C80" t="str">
        <f>IF('Captura de Riesgos'!D80="","",'Captura de Riesgos'!D80)</f>
        <v/>
      </c>
    </row>
    <row r="81" spans="2:3" hidden="1" x14ac:dyDescent="0.4">
      <c r="B81" s="4">
        <v>73</v>
      </c>
      <c r="C81" t="str">
        <f>IF('Captura de Riesgos'!D81="","",'Captura de Riesgos'!D81)</f>
        <v/>
      </c>
    </row>
    <row r="82" spans="2:3" hidden="1" x14ac:dyDescent="0.4">
      <c r="B82" s="4">
        <v>74</v>
      </c>
      <c r="C82" t="str">
        <f>IF('Captura de Riesgos'!D82="","",'Captura de Riesgos'!D82)</f>
        <v/>
      </c>
    </row>
    <row r="83" spans="2:3" hidden="1" x14ac:dyDescent="0.4">
      <c r="B83" s="4">
        <v>75</v>
      </c>
      <c r="C83" t="str">
        <f>IF('Captura de Riesgos'!D83="","",'Captura de Riesgos'!D83)</f>
        <v/>
      </c>
    </row>
    <row r="84" spans="2:3" hidden="1" x14ac:dyDescent="0.4">
      <c r="B84" s="4">
        <v>76</v>
      </c>
      <c r="C84" t="str">
        <f>IF('Captura de Riesgos'!D84="","",'Captura de Riesgos'!D84)</f>
        <v/>
      </c>
    </row>
    <row r="85" spans="2:3" hidden="1" x14ac:dyDescent="0.4">
      <c r="B85" s="4">
        <v>77</v>
      </c>
      <c r="C85" t="str">
        <f>IF('Captura de Riesgos'!D85="","",'Captura de Riesgos'!D85)</f>
        <v/>
      </c>
    </row>
    <row r="86" spans="2:3" hidden="1" x14ac:dyDescent="0.4">
      <c r="B86" s="4">
        <v>78</v>
      </c>
      <c r="C86" t="str">
        <f>IF('Captura de Riesgos'!D86="","",'Captura de Riesgos'!D86)</f>
        <v/>
      </c>
    </row>
    <row r="87" spans="2:3" hidden="1" x14ac:dyDescent="0.4">
      <c r="B87" s="4">
        <v>79</v>
      </c>
      <c r="C87" t="str">
        <f>IF('Captura de Riesgos'!D87="","",'Captura de Riesgos'!D87)</f>
        <v/>
      </c>
    </row>
    <row r="88" spans="2:3" hidden="1" x14ac:dyDescent="0.4">
      <c r="B88" s="4">
        <v>80</v>
      </c>
      <c r="C88" t="str">
        <f>IF('Captura de Riesgos'!D88="","",'Captura de Riesgos'!D88)</f>
        <v/>
      </c>
    </row>
    <row r="89" spans="2:3" hidden="1" x14ac:dyDescent="0.4">
      <c r="B89" s="4">
        <v>81</v>
      </c>
      <c r="C89" t="str">
        <f>IF('Captura de Riesgos'!D89="","",'Captura de Riesgos'!D89)</f>
        <v/>
      </c>
    </row>
    <row r="90" spans="2:3" hidden="1" x14ac:dyDescent="0.4">
      <c r="B90" s="4">
        <v>82</v>
      </c>
      <c r="C90" t="str">
        <f>IF('Captura de Riesgos'!D90="","",'Captura de Riesgos'!D90)</f>
        <v/>
      </c>
    </row>
    <row r="91" spans="2:3" hidden="1" x14ac:dyDescent="0.4">
      <c r="B91" s="4">
        <v>83</v>
      </c>
      <c r="C91" t="str">
        <f>IF('Captura de Riesgos'!D91="","",'Captura de Riesgos'!D91)</f>
        <v/>
      </c>
    </row>
    <row r="92" spans="2:3" hidden="1" x14ac:dyDescent="0.4">
      <c r="B92" s="4">
        <v>84</v>
      </c>
      <c r="C92" t="str">
        <f>IF('Captura de Riesgos'!D92="","",'Captura de Riesgos'!D92)</f>
        <v/>
      </c>
    </row>
    <row r="93" spans="2:3" hidden="1" x14ac:dyDescent="0.4">
      <c r="B93" s="4">
        <v>85</v>
      </c>
      <c r="C93" t="str">
        <f>IF('Captura de Riesgos'!D93="","",'Captura de Riesgos'!D93)</f>
        <v/>
      </c>
    </row>
    <row r="94" spans="2:3" hidden="1" x14ac:dyDescent="0.4">
      <c r="B94" s="4">
        <v>86</v>
      </c>
      <c r="C94" t="str">
        <f>IF('Captura de Riesgos'!D94="","",'Captura de Riesgos'!D94)</f>
        <v/>
      </c>
    </row>
    <row r="95" spans="2:3" hidden="1" x14ac:dyDescent="0.4">
      <c r="B95" s="4">
        <v>87</v>
      </c>
      <c r="C95" t="str">
        <f>IF('Captura de Riesgos'!D95="","",'Captura de Riesgos'!D95)</f>
        <v/>
      </c>
    </row>
    <row r="96" spans="2:3" hidden="1" x14ac:dyDescent="0.4">
      <c r="B96" s="4">
        <v>88</v>
      </c>
      <c r="C96" t="str">
        <f>IF('Captura de Riesgos'!D96="","",'Captura de Riesgos'!D96)</f>
        <v/>
      </c>
    </row>
    <row r="97" spans="2:3" hidden="1" x14ac:dyDescent="0.4">
      <c r="B97" s="4">
        <v>89</v>
      </c>
      <c r="C97" t="str">
        <f>IF('Captura de Riesgos'!D97="","",'Captura de Riesgos'!D97)</f>
        <v/>
      </c>
    </row>
    <row r="98" spans="2:3" hidden="1" x14ac:dyDescent="0.4">
      <c r="B98" s="4">
        <v>90</v>
      </c>
      <c r="C98" t="str">
        <f>IF('Captura de Riesgos'!D98="","",'Captura de Riesgos'!D98)</f>
        <v/>
      </c>
    </row>
    <row r="99" spans="2:3" hidden="1" x14ac:dyDescent="0.4">
      <c r="B99" s="4">
        <v>91</v>
      </c>
      <c r="C99" t="str">
        <f>IF('Captura de Riesgos'!D99="","",'Captura de Riesgos'!D99)</f>
        <v/>
      </c>
    </row>
    <row r="100" spans="2:3" hidden="1" x14ac:dyDescent="0.4">
      <c r="B100" s="4">
        <v>92</v>
      </c>
      <c r="C100" t="str">
        <f>IF('Captura de Riesgos'!D100="","",'Captura de Riesgos'!D100)</f>
        <v/>
      </c>
    </row>
    <row r="101" spans="2:3" hidden="1" x14ac:dyDescent="0.4">
      <c r="B101" s="4">
        <v>93</v>
      </c>
      <c r="C101" t="str">
        <f>IF('Captura de Riesgos'!D101="","",'Captura de Riesgos'!D101)</f>
        <v/>
      </c>
    </row>
    <row r="102" spans="2:3" hidden="1" x14ac:dyDescent="0.4">
      <c r="B102" s="4">
        <v>94</v>
      </c>
      <c r="C102" t="str">
        <f>IF('Captura de Riesgos'!D102="","",'Captura de Riesgos'!D102)</f>
        <v/>
      </c>
    </row>
    <row r="103" spans="2:3" hidden="1" x14ac:dyDescent="0.4">
      <c r="B103" s="4">
        <v>95</v>
      </c>
      <c r="C103" t="str">
        <f>IF('Captura de Riesgos'!D103="","",'Captura de Riesgos'!D103)</f>
        <v/>
      </c>
    </row>
    <row r="104" spans="2:3" hidden="1" x14ac:dyDescent="0.4">
      <c r="B104" s="4">
        <v>96</v>
      </c>
      <c r="C104" t="str">
        <f>IF('Captura de Riesgos'!D104="","",'Captura de Riesgos'!D104)</f>
        <v/>
      </c>
    </row>
    <row r="105" spans="2:3" hidden="1" x14ac:dyDescent="0.4">
      <c r="B105" s="4">
        <v>97</v>
      </c>
      <c r="C105" t="str">
        <f>IF('Captura de Riesgos'!D105="","",'Captura de Riesgos'!D105)</f>
        <v/>
      </c>
    </row>
    <row r="106" spans="2:3" hidden="1" x14ac:dyDescent="0.4">
      <c r="B106" s="4">
        <v>98</v>
      </c>
      <c r="C106" t="str">
        <f>IF('Captura de Riesgos'!D106="","",'Captura de Riesgos'!D106)</f>
        <v/>
      </c>
    </row>
    <row r="107" spans="2:3" hidden="1" x14ac:dyDescent="0.4">
      <c r="B107" s="4">
        <v>99</v>
      </c>
      <c r="C107" t="str">
        <f>IF('Captura de Riesgos'!D107="","",'Captura de Riesgos'!D107)</f>
        <v/>
      </c>
    </row>
    <row r="108" spans="2:3" hidden="1" x14ac:dyDescent="0.4">
      <c r="B108" s="4">
        <v>100</v>
      </c>
      <c r="C108" t="str">
        <f>IF('Captura de Riesgos'!D108="","",'Captura de Riesgos'!D108)</f>
        <v/>
      </c>
    </row>
  </sheetData>
  <mergeCells count="2">
    <mergeCell ref="C2:K2"/>
    <mergeCell ref="D4:J4"/>
  </mergeCells>
  <dataValidations count="4">
    <dataValidation type="list" allowBlank="1" showInputMessage="1" showErrorMessage="1" errorTitle="Error de Captura" error="Sólo puede seleccionarse un tipo de análisis existente en la lista predeterminada." promptTitle="Ayuda de Captura" prompt="Seleccione el Tipo de Análisis que se aplicó al Riesgo." sqref="D9:D108" xr:uid="{00000000-0002-0000-0400-000000000000}">
      <formula1>AnalisisAplicado</formula1>
    </dataValidation>
    <dataValidation type="list" allowBlank="1" showInputMessage="1" showErrorMessage="1" errorTitle="Error de Captura" error="Sólo puede seleccionarse una respuesta predeterminada." promptTitle="Ayuda de Captura" prompt="Seleccione la respuesta que obtuvo el Riesgo" sqref="E9:E108" xr:uid="{00000000-0002-0000-0400-000001000000}">
      <formula1>Respuesta</formula1>
    </dataValidation>
    <dataValidation type="list" allowBlank="1" showInputMessage="1" showErrorMessage="1" errorTitle="Error de Captura" error="Sólo puede seleccionar un estatus predeterminado." promptTitle="Ayuda de Captura" prompt="Seleccione el estatus actual del Riesgo." sqref="F9:F108" xr:uid="{00000000-0002-0000-0400-000002000000}">
      <formula1>Estatus</formula1>
    </dataValidation>
    <dataValidation type="list" allowBlank="1" showInputMessage="1" showErrorMessage="1" errorTitle="Error de Captura" error="Sólo puede seleccionar una prioridad predeterminada." promptTitle="Ayuda de Captura" prompt="Seleccione la prioridad que tiene el Riesgo dentro del Plan." sqref="G9:G108" xr:uid="{00000000-0002-0000-0400-000003000000}">
      <formula1>Prioridad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Menu">
                <anchor moveWithCells="1" sizeWithCells="1">
                  <from>
                    <xdr:col>10</xdr:col>
                    <xdr:colOff>190500</xdr:colOff>
                    <xdr:row>5</xdr:row>
                    <xdr:rowOff>32657</xdr:rowOff>
                  </from>
                  <to>
                    <xdr:col>10</xdr:col>
                    <xdr:colOff>810986</xdr:colOff>
                    <xdr:row>6</xdr:row>
                    <xdr:rowOff>81643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5"/>
  </sheetPr>
  <dimension ref="A3:XEZ26"/>
  <sheetViews>
    <sheetView showGridLines="0" showRowColHeaders="0" tabSelected="1" topLeftCell="A4" workbookViewId="0">
      <selection activeCell="C24" sqref="C24"/>
    </sheetView>
  </sheetViews>
  <sheetFormatPr baseColWidth="10" defaultColWidth="0" defaultRowHeight="14.6" zeroHeight="1" x14ac:dyDescent="0.4"/>
  <cols>
    <col min="1" max="1" width="1.69140625" customWidth="1"/>
    <col min="2" max="2" width="37" bestFit="1" customWidth="1"/>
    <col min="3" max="3" width="76.53515625" bestFit="1" customWidth="1"/>
    <col min="4" max="4" width="1.69140625" customWidth="1"/>
    <col min="5" max="16378" width="11.4609375" hidden="1" customWidth="1"/>
    <col min="16381" max="16384" width="11.4609375" hidden="1" customWidth="1"/>
  </cols>
  <sheetData>
    <row r="3" spans="2:3" ht="21" customHeight="1" x14ac:dyDescent="0.55000000000000004">
      <c r="B3" s="20" t="s">
        <v>0</v>
      </c>
      <c r="C3" s="21"/>
    </row>
    <row r="4" spans="2:3" ht="21" customHeight="1" x14ac:dyDescent="0.55000000000000004">
      <c r="B4" s="22" t="s">
        <v>1</v>
      </c>
      <c r="C4" s="21"/>
    </row>
    <row r="5" spans="2:3" ht="21" customHeight="1" x14ac:dyDescent="0.55000000000000004">
      <c r="B5" s="22" t="s">
        <v>2</v>
      </c>
      <c r="C5" s="21"/>
    </row>
    <row r="8" spans="2:3" x14ac:dyDescent="0.4">
      <c r="B8" s="3" t="s">
        <v>3</v>
      </c>
      <c r="C8" s="3" t="s">
        <v>4</v>
      </c>
    </row>
    <row r="9" spans="2:3" x14ac:dyDescent="0.4">
      <c r="B9" t="s">
        <v>5</v>
      </c>
      <c r="C9" t="s">
        <v>140</v>
      </c>
    </row>
    <row r="10" spans="2:3" x14ac:dyDescent="0.4">
      <c r="B10" t="s">
        <v>6</v>
      </c>
      <c r="C10" t="s">
        <v>141</v>
      </c>
    </row>
    <row r="11" spans="2:3" x14ac:dyDescent="0.4">
      <c r="B11" t="s">
        <v>7</v>
      </c>
      <c r="C11" t="s">
        <v>142</v>
      </c>
    </row>
    <row r="12" spans="2:3" x14ac:dyDescent="0.4">
      <c r="B12" t="s">
        <v>8</v>
      </c>
      <c r="C12" t="s">
        <v>143</v>
      </c>
    </row>
    <row r="13" spans="2:3" x14ac:dyDescent="0.4">
      <c r="B13" t="s">
        <v>9</v>
      </c>
      <c r="C13" t="s">
        <v>144</v>
      </c>
    </row>
    <row r="14" spans="2:3" x14ac:dyDescent="0.4">
      <c r="B14" t="s">
        <v>10</v>
      </c>
      <c r="C14" t="s">
        <v>145</v>
      </c>
    </row>
    <row r="15" spans="2:3" x14ac:dyDescent="0.4">
      <c r="B15" t="s">
        <v>11</v>
      </c>
      <c r="C15" t="s">
        <v>146</v>
      </c>
    </row>
    <row r="16" spans="2:3" x14ac:dyDescent="0.4">
      <c r="B16" t="s">
        <v>12</v>
      </c>
      <c r="C16" t="s">
        <v>147</v>
      </c>
    </row>
    <row r="17" spans="2:3" x14ac:dyDescent="0.4">
      <c r="B17" t="s">
        <v>13</v>
      </c>
      <c r="C17" t="s">
        <v>148</v>
      </c>
    </row>
    <row r="18" spans="2:3" x14ac:dyDescent="0.4">
      <c r="B18" t="s">
        <v>14</v>
      </c>
      <c r="C18" t="s">
        <v>149</v>
      </c>
    </row>
    <row r="19" spans="2:3" x14ac:dyDescent="0.4">
      <c r="B19" t="s">
        <v>15</v>
      </c>
      <c r="C19" t="s">
        <v>150</v>
      </c>
    </row>
    <row r="20" spans="2:3" x14ac:dyDescent="0.4">
      <c r="B20" t="s">
        <v>16</v>
      </c>
      <c r="C20" t="s">
        <v>151</v>
      </c>
    </row>
    <row r="21" spans="2:3" x14ac:dyDescent="0.4">
      <c r="B21" t="s">
        <v>17</v>
      </c>
      <c r="C21" t="s">
        <v>152</v>
      </c>
    </row>
    <row r="22" spans="2:3" x14ac:dyDescent="0.4">
      <c r="B22" t="s">
        <v>18</v>
      </c>
      <c r="C22" t="s">
        <v>153</v>
      </c>
    </row>
    <row r="23" spans="2:3" x14ac:dyDescent="0.4">
      <c r="B23" t="s">
        <v>19</v>
      </c>
      <c r="C23" t="s">
        <v>154</v>
      </c>
    </row>
    <row r="24" spans="2:3" x14ac:dyDescent="0.4"/>
    <row r="25" spans="2:3" x14ac:dyDescent="0.4"/>
    <row r="26" spans="2:3" x14ac:dyDescent="0.4"/>
  </sheetData>
  <mergeCells count="3">
    <mergeCell ref="B3:C3"/>
    <mergeCell ref="B5:C5"/>
    <mergeCell ref="B4:C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Menu">
                <anchor moveWithCells="1" sizeWithCells="1">
                  <from>
                    <xdr:col>2</xdr:col>
                    <xdr:colOff>3722914</xdr:colOff>
                    <xdr:row>5</xdr:row>
                    <xdr:rowOff>76200</xdr:rowOff>
                  </from>
                  <to>
                    <xdr:col>2</xdr:col>
                    <xdr:colOff>4343400</xdr:colOff>
                    <xdr:row>6</xdr:row>
                    <xdr:rowOff>125186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15</vt:i4>
      </vt:variant>
    </vt:vector>
  </HeadingPairs>
  <TitlesOfParts>
    <vt:vector size="21" baseType="lpstr">
      <vt:lpstr>Menú</vt:lpstr>
      <vt:lpstr>Captura de Riesgos</vt:lpstr>
      <vt:lpstr>Análisis Cualitativo</vt:lpstr>
      <vt:lpstr>Análisis Cuantitativo</vt:lpstr>
      <vt:lpstr>Resumen y Plan de Acción</vt:lpstr>
      <vt:lpstr>Estrategias Sugeridas</vt:lpstr>
      <vt:lpstr>AnalisisAplicado</vt:lpstr>
      <vt:lpstr>CategoriaRiesgo</vt:lpstr>
      <vt:lpstr>Escala1</vt:lpstr>
      <vt:lpstr>Escala2</vt:lpstr>
      <vt:lpstr>Estatus</vt:lpstr>
      <vt:lpstr>Inicializado</vt:lpstr>
      <vt:lpstr>NumRiesgos</vt:lpstr>
      <vt:lpstr>Prioridad</vt:lpstr>
      <vt:lpstr>Respuesta</vt:lpstr>
      <vt:lpstr>Riesgos</vt:lpstr>
      <vt:lpstr>TipoAnalisis</vt:lpstr>
      <vt:lpstr>TipoRiesgo</vt:lpstr>
      <vt:lpstr>ZonaAnalisis</vt:lpstr>
      <vt:lpstr>ZonaResumen</vt:lpstr>
      <vt:lpstr>ZonaRiesgos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carlos uriel francisco lópez</cp:lastModifiedBy>
  <dcterms:created xsi:type="dcterms:W3CDTF">2007-03-26T15:06:29Z</dcterms:created>
  <dcterms:modified xsi:type="dcterms:W3CDTF">2026-06-17T13:28:27Z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0x0101007AA3B6ECABE3B54EA73F8E59379579D1</vt:lpwstr>
  </property>
</Properties>
</file>