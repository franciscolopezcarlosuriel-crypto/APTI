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10" codeName="{00000000-0000-0000-0000-000000000000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5B0C5D13B97A789/Documentos/"/>
    </mc:Choice>
  </mc:AlternateContent>
  <xr:revisionPtr revIDLastSave="0" documentId="8_{1A0DEFD0-CC91-44D7-B4EB-D3401404AE4B}" xr6:coauthVersionLast="47" xr6:coauthVersionMax="47" xr10:uidLastSave="{00000000-0000-0000-0000-000000000000}"/>
  <bookViews>
    <workbookView xWindow="-103" yWindow="-103" windowWidth="19954" windowHeight="12652" tabRatio="937" xr2:uid="{00000000-000D-0000-FFFF-FFFF00000000}"/>
  </bookViews>
  <sheets>
    <sheet name="Presupuesto" sheetId="19" r:id="rId1"/>
  </sheets>
  <definedNames>
    <definedName name="_xlnm.Print_Area" localSheetId="0">Presupuesto!$A$1:$AI$84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9" i="19" l="1"/>
  <c r="F120" i="19"/>
  <c r="F121" i="19"/>
  <c r="F122" i="19"/>
  <c r="F123" i="19"/>
  <c r="F124" i="19"/>
  <c r="F125" i="19"/>
  <c r="F126" i="19"/>
  <c r="F127" i="19"/>
  <c r="F118" i="19"/>
  <c r="X69" i="19"/>
  <c r="Y69" i="19"/>
  <c r="Z69" i="19"/>
  <c r="W69" i="19"/>
  <c r="T69" i="19"/>
  <c r="U69" i="19"/>
  <c r="V69" i="19"/>
  <c r="S69" i="19"/>
  <c r="P69" i="19"/>
  <c r="Q69" i="19"/>
  <c r="R69" i="19"/>
  <c r="O69" i="19"/>
  <c r="L69" i="19"/>
  <c r="M69" i="19"/>
  <c r="N69" i="19"/>
  <c r="K69" i="19"/>
  <c r="G77" i="19"/>
  <c r="O78" i="19"/>
  <c r="S78" i="19" s="1"/>
  <c r="W78" i="19" s="1"/>
  <c r="O76" i="19"/>
  <c r="S76" i="19" s="1"/>
  <c r="W76" i="19" s="1"/>
  <c r="L76" i="19"/>
  <c r="P76" i="19" s="1"/>
  <c r="T76" i="19" s="1"/>
  <c r="X76" i="19" s="1"/>
  <c r="M76" i="19"/>
  <c r="Q76" i="19" s="1"/>
  <c r="U76" i="19" s="1"/>
  <c r="Y76" i="19" s="1"/>
  <c r="N76" i="19"/>
  <c r="R76" i="19" s="1"/>
  <c r="V76" i="19" s="1"/>
  <c r="Z76" i="19" s="1"/>
  <c r="K77" i="19"/>
  <c r="O77" i="19" s="1"/>
  <c r="S77" i="19" s="1"/>
  <c r="W77" i="19" s="1"/>
  <c r="L77" i="19"/>
  <c r="P77" i="19" s="1"/>
  <c r="T77" i="19" s="1"/>
  <c r="X77" i="19" s="1"/>
  <c r="M77" i="19"/>
  <c r="Q77" i="19" s="1"/>
  <c r="U77" i="19" s="1"/>
  <c r="Y77" i="19" s="1"/>
  <c r="N77" i="19"/>
  <c r="R77" i="19" s="1"/>
  <c r="V77" i="19" s="1"/>
  <c r="Z77" i="19" s="1"/>
  <c r="L68" i="19"/>
  <c r="P68" i="19" s="1"/>
  <c r="T68" i="19" s="1"/>
  <c r="X68" i="19" s="1"/>
  <c r="M68" i="19"/>
  <c r="Q68" i="19" s="1"/>
  <c r="U68" i="19" s="1"/>
  <c r="Y68" i="19" s="1"/>
  <c r="N68" i="19"/>
  <c r="R68" i="19" s="1"/>
  <c r="V68" i="19" s="1"/>
  <c r="Z68" i="19" s="1"/>
  <c r="P70" i="19"/>
  <c r="T70" i="19" s="1"/>
  <c r="X70" i="19" s="1"/>
  <c r="Q70" i="19"/>
  <c r="U70" i="19" s="1"/>
  <c r="Y70" i="19" s="1"/>
  <c r="R70" i="19"/>
  <c r="V70" i="19" s="1"/>
  <c r="Z70" i="19" s="1"/>
  <c r="L71" i="19"/>
  <c r="P71" i="19" s="1"/>
  <c r="T71" i="19" s="1"/>
  <c r="X71" i="19" s="1"/>
  <c r="M71" i="19"/>
  <c r="Q71" i="19" s="1"/>
  <c r="U71" i="19" s="1"/>
  <c r="Y71" i="19" s="1"/>
  <c r="N71" i="19"/>
  <c r="R71" i="19" s="1"/>
  <c r="V71" i="19" s="1"/>
  <c r="Z71" i="19" s="1"/>
  <c r="L72" i="19"/>
  <c r="P72" i="19" s="1"/>
  <c r="T72" i="19" s="1"/>
  <c r="X72" i="19" s="1"/>
  <c r="M72" i="19"/>
  <c r="Q72" i="19" s="1"/>
  <c r="U72" i="19" s="1"/>
  <c r="Y72" i="19" s="1"/>
  <c r="N72" i="19"/>
  <c r="R72" i="19" s="1"/>
  <c r="V72" i="19" s="1"/>
  <c r="Z72" i="19" s="1"/>
  <c r="L73" i="19"/>
  <c r="P73" i="19" s="1"/>
  <c r="T73" i="19" s="1"/>
  <c r="X73" i="19" s="1"/>
  <c r="M73" i="19"/>
  <c r="Q73" i="19" s="1"/>
  <c r="U73" i="19" s="1"/>
  <c r="Y73" i="19" s="1"/>
  <c r="N73" i="19"/>
  <c r="R73" i="19" s="1"/>
  <c r="V73" i="19" s="1"/>
  <c r="Z73" i="19" s="1"/>
  <c r="L74" i="19"/>
  <c r="P74" i="19" s="1"/>
  <c r="T74" i="19" s="1"/>
  <c r="X74" i="19" s="1"/>
  <c r="M74" i="19"/>
  <c r="Q74" i="19" s="1"/>
  <c r="U74" i="19" s="1"/>
  <c r="Y74" i="19" s="1"/>
  <c r="N74" i="19"/>
  <c r="R74" i="19" s="1"/>
  <c r="V74" i="19" s="1"/>
  <c r="Z74" i="19" s="1"/>
  <c r="K72" i="19"/>
  <c r="O72" i="19" s="1"/>
  <c r="S72" i="19" s="1"/>
  <c r="W72" i="19" s="1"/>
  <c r="K73" i="19"/>
  <c r="O73" i="19" s="1"/>
  <c r="S73" i="19" s="1"/>
  <c r="W73" i="19" s="1"/>
  <c r="K74" i="19"/>
  <c r="O74" i="19" s="1"/>
  <c r="S74" i="19" s="1"/>
  <c r="W74" i="19" s="1"/>
  <c r="K68" i="19"/>
  <c r="O68" i="19" s="1"/>
  <c r="S68" i="19" s="1"/>
  <c r="W68" i="19" s="1"/>
  <c r="G70" i="19"/>
  <c r="O70" i="19" s="1"/>
  <c r="S70" i="19" s="1"/>
  <c r="W70" i="19" s="1"/>
  <c r="G43" i="19"/>
  <c r="E126" i="19"/>
  <c r="S126" i="19" s="1"/>
  <c r="E124" i="19"/>
  <c r="S124" i="19" s="1"/>
  <c r="E123" i="19"/>
  <c r="S123" i="19" s="1"/>
  <c r="E122" i="19"/>
  <c r="S122" i="19" s="1"/>
  <c r="E121" i="19"/>
  <c r="S121" i="19" s="1"/>
  <c r="E120" i="19"/>
  <c r="S120" i="19" s="1"/>
  <c r="H125" i="19"/>
  <c r="F128" i="19"/>
  <c r="O34" i="19"/>
  <c r="M34" i="19"/>
  <c r="K34" i="19"/>
  <c r="G34" i="19"/>
  <c r="L30" i="19"/>
  <c r="L29" i="19"/>
  <c r="L28" i="19"/>
  <c r="L27" i="19"/>
  <c r="I32" i="19"/>
  <c r="I31" i="19"/>
  <c r="I30" i="19"/>
  <c r="I29" i="19"/>
  <c r="H28" i="19"/>
  <c r="L32" i="19"/>
  <c r="H29" i="19"/>
  <c r="H30" i="19"/>
  <c r="H26" i="19"/>
  <c r="L26" i="19"/>
  <c r="L33" i="19"/>
  <c r="I33" i="19"/>
  <c r="H33" i="19"/>
  <c r="G44" i="19"/>
  <c r="G57" i="19"/>
  <c r="H27" i="19"/>
  <c r="B9" i="19"/>
  <c r="D9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V11" i="19"/>
  <c r="AC11" i="19"/>
  <c r="AE11" i="19"/>
  <c r="AG11" i="19"/>
  <c r="AI11" i="19"/>
  <c r="U12" i="19"/>
  <c r="X12" i="19"/>
  <c r="Z12" i="19"/>
  <c r="AB12" i="19"/>
  <c r="AD12" i="19"/>
  <c r="AF12" i="19"/>
  <c r="AH12" i="19"/>
  <c r="G75" i="19"/>
  <c r="K75" i="19" s="1"/>
  <c r="O75" i="19" s="1"/>
  <c r="S75" i="19" s="1"/>
  <c r="W75" i="19" s="1"/>
  <c r="H75" i="19"/>
  <c r="H78" i="19" l="1"/>
  <c r="L75" i="19"/>
  <c r="P75" i="19" s="1"/>
  <c r="T75" i="19" s="1"/>
  <c r="X75" i="19" s="1"/>
  <c r="G71" i="19"/>
  <c r="K71" i="19" s="1"/>
  <c r="O71" i="19" s="1"/>
  <c r="S71" i="19" s="1"/>
  <c r="W71" i="19" s="1"/>
  <c r="I43" i="19"/>
  <c r="J75" i="19"/>
  <c r="I75" i="19"/>
  <c r="M75" i="19" s="1"/>
  <c r="Q75" i="19" s="1"/>
  <c r="U75" i="19" s="1"/>
  <c r="Y75" i="19" s="1"/>
  <c r="I78" i="19"/>
  <c r="E119" i="19"/>
  <c r="S119" i="19" s="1"/>
  <c r="H128" i="19"/>
  <c r="R124" i="19"/>
  <c r="R123" i="19"/>
  <c r="R122" i="19"/>
  <c r="R127" i="19"/>
  <c r="R121" i="19"/>
  <c r="R126" i="19"/>
  <c r="R120" i="19"/>
  <c r="R119" i="19"/>
  <c r="I34" i="19"/>
  <c r="E118" i="19" s="1"/>
  <c r="H32" i="19"/>
  <c r="H31" i="19"/>
  <c r="V12" i="19"/>
  <c r="AA11" i="19"/>
  <c r="Y11" i="19"/>
  <c r="W11" i="19"/>
  <c r="U11" i="19"/>
  <c r="AH11" i="19"/>
  <c r="AF11" i="19"/>
  <c r="AD11" i="19"/>
  <c r="AB11" i="19"/>
  <c r="Z11" i="19"/>
  <c r="X11" i="19"/>
  <c r="AI12" i="19"/>
  <c r="AG12" i="19"/>
  <c r="AE12" i="19"/>
  <c r="AC12" i="19"/>
  <c r="AA12" i="19"/>
  <c r="Y12" i="19"/>
  <c r="W12" i="19"/>
  <c r="L31" i="19"/>
  <c r="L34" i="19" s="1"/>
  <c r="J78" i="19" l="1"/>
  <c r="N75" i="19"/>
  <c r="R75" i="19" s="1"/>
  <c r="V75" i="19" s="1"/>
  <c r="Z75" i="19" s="1"/>
  <c r="E127" i="19"/>
  <c r="I44" i="19"/>
  <c r="H34" i="19"/>
  <c r="R125" i="19"/>
  <c r="S118" i="19"/>
  <c r="R118" i="19"/>
  <c r="G78" i="19"/>
  <c r="Q34" i="19"/>
  <c r="S127" i="19" l="1"/>
  <c r="E125" i="19"/>
  <c r="L78" i="19"/>
  <c r="P78" i="19" s="1"/>
  <c r="T78" i="19" s="1"/>
  <c r="X78" i="19" s="1"/>
  <c r="S125" i="19" l="1"/>
  <c r="E128" i="19"/>
  <c r="M78" i="19"/>
  <c r="Q78" i="19" s="1"/>
  <c r="U78" i="19" s="1"/>
  <c r="Y78" i="19" s="1"/>
  <c r="S128" i="19" l="1"/>
  <c r="R128" i="19"/>
  <c r="N78" i="19"/>
  <c r="R78" i="19" s="1"/>
  <c r="V78" i="19" s="1"/>
  <c r="Z78" i="19" s="1"/>
</calcChain>
</file>

<file path=xl/sharedStrings.xml><?xml version="1.0" encoding="utf-8"?>
<sst xmlns="http://schemas.openxmlformats.org/spreadsheetml/2006/main" count="112" uniqueCount="66">
  <si>
    <t>Moneda</t>
  </si>
  <si>
    <t>USD</t>
  </si>
  <si>
    <t>Canadian USD</t>
  </si>
  <si>
    <t>Euro</t>
  </si>
  <si>
    <t>Otro, especifique:</t>
  </si>
  <si>
    <t>Presupuesto</t>
  </si>
  <si>
    <t>Generales del Proyecto</t>
  </si>
  <si>
    <t>Nombre del Proyecto:</t>
  </si>
  <si>
    <t>Query &amp; Coffee</t>
  </si>
  <si>
    <t>Tipo de Proyecto:</t>
  </si>
  <si>
    <t>Tecnologías de la información</t>
  </si>
  <si>
    <t>Área Usuaria:</t>
  </si>
  <si>
    <t>Subdirección de Servicios Estudiantiles y Dirección de ESCOM.</t>
  </si>
  <si>
    <t>Área Ejecutora:</t>
  </si>
  <si>
    <t>Equipo de Análisis de Datos</t>
  </si>
  <si>
    <t>ID del Proyecto:</t>
  </si>
  <si>
    <t>P-01</t>
  </si>
  <si>
    <t>Fecha de Inicio:</t>
  </si>
  <si>
    <t>Fecha de Fin:</t>
  </si>
  <si>
    <t>Presupuesto Detallado Servicios Profesionales</t>
  </si>
  <si>
    <t>Esfuerzo Interno</t>
  </si>
  <si>
    <t>Costo Interno MXN</t>
  </si>
  <si>
    <t>Esfuerzo Externos</t>
  </si>
  <si>
    <t>Costo Externo MXN</t>
  </si>
  <si>
    <t>Servicios Profesionales MXN</t>
  </si>
  <si>
    <t>TOTAL</t>
  </si>
  <si>
    <t>h/h</t>
  </si>
  <si>
    <t>d/h</t>
  </si>
  <si>
    <t>Administrador del Proyecto</t>
  </si>
  <si>
    <t>Desarrollador Fullstack / Analisis de Datos</t>
  </si>
  <si>
    <t>Desarrollador Fullstack / Analista ETL</t>
  </si>
  <si>
    <t>Total MXN</t>
  </si>
  <si>
    <t>Presupuesto Detallado Infraestructura</t>
  </si>
  <si>
    <t>Costos</t>
  </si>
  <si>
    <t>Costos Anuales</t>
  </si>
  <si>
    <t>Hardware / Infraestructura</t>
  </si>
  <si>
    <t>Software</t>
  </si>
  <si>
    <t>Varios</t>
  </si>
  <si>
    <t>Capacitación</t>
  </si>
  <si>
    <t>Servicios</t>
  </si>
  <si>
    <t>Otros</t>
  </si>
  <si>
    <t>Plan de Ejecución del Presupuesto</t>
  </si>
  <si>
    <t>Año 1</t>
  </si>
  <si>
    <t>Año 2</t>
  </si>
  <si>
    <t>Año 3</t>
  </si>
  <si>
    <t>Año 4</t>
  </si>
  <si>
    <t>Año 5</t>
  </si>
  <si>
    <t>Q1</t>
  </si>
  <si>
    <t>Q2</t>
  </si>
  <si>
    <t>Q3</t>
  </si>
  <si>
    <t>Q4</t>
  </si>
  <si>
    <t>Recursos Externos (Servicios Profesionales)</t>
  </si>
  <si>
    <t>Recursos Internos</t>
  </si>
  <si>
    <t>Viáticos</t>
  </si>
  <si>
    <t>Harware</t>
  </si>
  <si>
    <t>Totales</t>
  </si>
  <si>
    <t>Desempeño</t>
  </si>
  <si>
    <t>Presupuesto Línea Base</t>
  </si>
  <si>
    <t>Presupuestado a la Fecha de Reporte</t>
  </si>
  <si>
    <t>Devengado a la Fecha de Reporte</t>
  </si>
  <si>
    <t>% Total</t>
  </si>
  <si>
    <t>% Presupuestado a la Fecha de Reporte</t>
  </si>
  <si>
    <t>% Devengado a la Fecha de Reporte</t>
  </si>
  <si>
    <t xml:space="preserve">Recursos Externos </t>
  </si>
  <si>
    <t>Costos Recurrentes Anuales</t>
  </si>
  <si>
    <t>Hardware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</si>
</sst>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0.0%"/>
  </numFmts>
  <fonts count="36">
    <font>
      <sz val="10"/>
      <name val="Arial"/>
    </font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b/>
      <sz val="15"/>
      <color indexed="62"/>
      <name val="Calibri"/>
      <family val="2"/>
    </font>
    <font>
      <b/>
      <sz val="11"/>
      <color indexed="62"/>
      <name val="Calibri"/>
      <family val="2"/>
    </font>
    <font>
      <u/>
      <sz val="10"/>
      <color indexed="12"/>
      <name val="Arial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0"/>
      <color indexed="9"/>
      <name val="Arial"/>
      <family val="2"/>
    </font>
    <font>
      <b/>
      <i/>
      <sz val="10"/>
      <name val="Arial"/>
      <family val="2"/>
    </font>
    <font>
      <b/>
      <sz val="11"/>
      <name val="Arial"/>
      <family val="2"/>
    </font>
    <font>
      <b/>
      <i/>
      <sz val="12"/>
      <name val="Arial"/>
      <family val="2"/>
    </font>
    <font>
      <i/>
      <sz val="12"/>
      <name val="Arial"/>
      <family val="2"/>
    </font>
    <font>
      <b/>
      <sz val="12"/>
      <color indexed="9"/>
      <name val="Arial"/>
      <family val="2"/>
    </font>
    <font>
      <b/>
      <sz val="18"/>
      <name val="Arial"/>
      <family val="2"/>
    </font>
    <font>
      <b/>
      <sz val="12"/>
      <color theme="0"/>
      <name val="Arial"/>
      <family val="2"/>
    </font>
    <font>
      <sz val="12"/>
      <color theme="0"/>
      <name val="Arial"/>
      <family val="2"/>
    </font>
    <font>
      <i/>
      <sz val="12"/>
      <color theme="0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3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</borders>
  <cellStyleXfs count="46">
    <xf numFmtId="0" fontId="0" fillId="0" borderId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5" borderId="0" applyNumberFormat="0" applyBorder="0" applyAlignment="0" applyProtection="0"/>
    <xf numFmtId="0" fontId="7" fillId="2" borderId="0" applyNumberFormat="0" applyBorder="0" applyAlignment="0" applyProtection="0"/>
    <xf numFmtId="0" fontId="7" fillId="12" borderId="0" applyNumberFormat="0" applyBorder="0" applyAlignment="0" applyProtection="0"/>
    <xf numFmtId="0" fontId="7" fillId="3" borderId="0" applyNumberFormat="0" applyBorder="0" applyAlignment="0" applyProtection="0"/>
    <xf numFmtId="0" fontId="7" fillId="13" borderId="0" applyNumberFormat="0" applyBorder="0" applyAlignment="0" applyProtection="0"/>
    <xf numFmtId="0" fontId="7" fillId="9" borderId="0" applyNumberFormat="0" applyBorder="0" applyAlignment="0" applyProtection="0"/>
    <xf numFmtId="0" fontId="7" fillId="12" borderId="0" applyNumberFormat="0" applyBorder="0" applyAlignment="0" applyProtection="0"/>
    <xf numFmtId="0" fontId="7" fillId="14" borderId="0" applyNumberFormat="0" applyBorder="0" applyAlignment="0" applyProtection="0"/>
    <xf numFmtId="0" fontId="8" fillId="16" borderId="0" applyNumberFormat="0" applyBorder="0" applyAlignment="0" applyProtection="0"/>
    <xf numFmtId="0" fontId="8" fillId="3" borderId="0" applyNumberFormat="0" applyBorder="0" applyAlignment="0" applyProtection="0"/>
    <xf numFmtId="0" fontId="8" fillId="13" borderId="0" applyNumberFormat="0" applyBorder="0" applyAlignment="0" applyProtection="0"/>
    <xf numFmtId="0" fontId="8" fillId="17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11" fillId="10" borderId="1" applyNumberFormat="0" applyAlignment="0" applyProtection="0"/>
    <xf numFmtId="0" fontId="12" fillId="22" borderId="2" applyNumberFormat="0" applyAlignment="0" applyProtection="0"/>
    <xf numFmtId="164" fontId="1" fillId="0" borderId="0" applyFont="0" applyFill="0" applyBorder="0" applyAlignment="0" applyProtection="0"/>
    <xf numFmtId="0" fontId="8" fillId="23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17" borderId="0" applyNumberFormat="0" applyBorder="0" applyAlignment="0" applyProtection="0"/>
    <xf numFmtId="0" fontId="8" fillId="15" borderId="0" applyNumberFormat="0" applyBorder="0" applyAlignment="0" applyProtection="0"/>
    <xf numFmtId="0" fontId="8" fillId="21" borderId="0" applyNumberFormat="0" applyBorder="0" applyAlignment="0" applyProtection="0"/>
    <xf numFmtId="0" fontId="10" fillId="8" borderId="0" applyNumberFormat="0" applyBorder="0" applyAlignment="0" applyProtection="0"/>
    <xf numFmtId="0" fontId="17" fillId="0" borderId="4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9" fillId="7" borderId="0" applyNumberFormat="0" applyBorder="0" applyAlignment="0" applyProtection="0"/>
    <xf numFmtId="0" fontId="15" fillId="11" borderId="1" applyNumberFormat="0" applyAlignment="0" applyProtection="0"/>
    <xf numFmtId="0" fontId="13" fillId="0" borderId="3" applyNumberFormat="0" applyFill="0" applyAlignment="0" applyProtection="0"/>
    <xf numFmtId="0" fontId="20" fillId="11" borderId="0" applyNumberFormat="0" applyBorder="0" applyAlignment="0" applyProtection="0"/>
    <xf numFmtId="0" fontId="2" fillId="0" borderId="0"/>
    <xf numFmtId="0" fontId="1" fillId="4" borderId="6" applyNumberFormat="0" applyFont="0" applyAlignment="0" applyProtection="0"/>
    <xf numFmtId="9" fontId="1" fillId="0" borderId="0" applyFont="0" applyFill="0" applyBorder="0" applyAlignment="0" applyProtection="0"/>
    <xf numFmtId="0" fontId="21" fillId="10" borderId="7" applyNumberFormat="0" applyAlignment="0" applyProtection="0"/>
    <xf numFmtId="0" fontId="16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5" applyNumberFormat="0" applyFill="0" applyAlignment="0" applyProtection="0"/>
    <xf numFmtId="0" fontId="14" fillId="0" borderId="8" applyNumberFormat="0" applyFill="0" applyAlignment="0" applyProtection="0"/>
    <xf numFmtId="0" fontId="25" fillId="0" borderId="9" applyNumberFormat="0" applyFill="0" applyAlignment="0" applyProtection="0"/>
    <xf numFmtId="0" fontId="22" fillId="0" borderId="0" applyNumberFormat="0" applyFill="0" applyBorder="0" applyAlignment="0" applyProtection="0"/>
  </cellStyleXfs>
  <cellXfs count="136">
    <xf numFmtId="0" fontId="0" fillId="0" borderId="0" xfId="0"/>
    <xf numFmtId="0" fontId="1" fillId="0" borderId="0" xfId="0" applyFont="1"/>
    <xf numFmtId="0" fontId="4" fillId="0" borderId="0" xfId="0" applyFont="1"/>
    <xf numFmtId="0" fontId="2" fillId="0" borderId="0" xfId="0" applyFont="1"/>
    <xf numFmtId="0" fontId="6" fillId="0" borderId="0" xfId="0" applyFont="1"/>
    <xf numFmtId="0" fontId="1" fillId="28" borderId="0" xfId="0" applyFont="1" applyFill="1"/>
    <xf numFmtId="0" fontId="1" fillId="0" borderId="16" xfId="0" applyFont="1" applyBorder="1"/>
    <xf numFmtId="0" fontId="1" fillId="28" borderId="0" xfId="0" applyFont="1" applyFill="1" applyProtection="1">
      <protection hidden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4" fillId="0" borderId="10" xfId="0" applyFont="1" applyBorder="1"/>
    <xf numFmtId="0" fontId="4" fillId="28" borderId="10" xfId="0" applyFont="1" applyFill="1" applyBorder="1"/>
    <xf numFmtId="0" fontId="1" fillId="28" borderId="11" xfId="0" applyFont="1" applyFill="1" applyBorder="1" applyAlignment="1" applyProtection="1">
      <alignment horizontal="center"/>
      <protection hidden="1"/>
    </xf>
    <xf numFmtId="0" fontId="27" fillId="0" borderId="16" xfId="0" applyFont="1" applyBorder="1"/>
    <xf numFmtId="14" fontId="4" fillId="0" borderId="11" xfId="0" applyNumberFormat="1" applyFont="1" applyBorder="1" applyAlignment="1">
      <alignment horizontal="center"/>
    </xf>
    <xf numFmtId="14" fontId="4" fillId="0" borderId="12" xfId="0" applyNumberFormat="1" applyFont="1" applyBorder="1" applyAlignment="1">
      <alignment horizontal="center"/>
    </xf>
    <xf numFmtId="14" fontId="1" fillId="0" borderId="0" xfId="0" applyNumberFormat="1" applyFont="1" applyAlignment="1">
      <alignment horizontal="center"/>
    </xf>
    <xf numFmtId="0" fontId="1" fillId="28" borderId="0" xfId="0" applyFont="1" applyFill="1" applyAlignment="1">
      <alignment horizontal="right"/>
    </xf>
    <xf numFmtId="0" fontId="28" fillId="28" borderId="21" xfId="0" applyFont="1" applyFill="1" applyBorder="1"/>
    <xf numFmtId="0" fontId="4" fillId="28" borderId="20" xfId="0" applyFont="1" applyFill="1" applyBorder="1"/>
    <xf numFmtId="0" fontId="4" fillId="28" borderId="21" xfId="0" applyFont="1" applyFill="1" applyBorder="1"/>
    <xf numFmtId="0" fontId="4" fillId="28" borderId="22" xfId="0" applyFont="1" applyFill="1" applyBorder="1"/>
    <xf numFmtId="0" fontId="26" fillId="34" borderId="10" xfId="0" applyFont="1" applyFill="1" applyBorder="1" applyAlignment="1">
      <alignment horizontal="center"/>
    </xf>
    <xf numFmtId="0" fontId="1" fillId="28" borderId="10" xfId="0" applyFont="1" applyFill="1" applyBorder="1" applyAlignment="1">
      <alignment horizontal="right"/>
    </xf>
    <xf numFmtId="0" fontId="4" fillId="31" borderId="10" xfId="0" applyFont="1" applyFill="1" applyBorder="1"/>
    <xf numFmtId="164" fontId="1" fillId="31" borderId="10" xfId="21" applyFont="1" applyFill="1" applyBorder="1" applyProtection="1"/>
    <xf numFmtId="164" fontId="1" fillId="28" borderId="10" xfId="21" applyFont="1" applyFill="1" applyBorder="1" applyProtection="1">
      <protection locked="0"/>
    </xf>
    <xf numFmtId="164" fontId="4" fillId="28" borderId="10" xfId="21" applyFont="1" applyFill="1" applyBorder="1" applyProtection="1"/>
    <xf numFmtId="0" fontId="26" fillId="35" borderId="10" xfId="0" applyFont="1" applyFill="1" applyBorder="1" applyAlignment="1">
      <alignment horizontal="center"/>
    </xf>
    <xf numFmtId="0" fontId="26" fillId="36" borderId="10" xfId="0" applyFont="1" applyFill="1" applyBorder="1" applyAlignment="1">
      <alignment horizontal="center"/>
    </xf>
    <xf numFmtId="0" fontId="26" fillId="32" borderId="10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right" wrapText="1"/>
    </xf>
    <xf numFmtId="0" fontId="3" fillId="0" borderId="0" xfId="0" applyFont="1"/>
    <xf numFmtId="0" fontId="3" fillId="0" borderId="14" xfId="0" applyFont="1" applyBorder="1"/>
    <xf numFmtId="0" fontId="29" fillId="0" borderId="14" xfId="0" applyFont="1" applyBorder="1"/>
    <xf numFmtId="0" fontId="2" fillId="28" borderId="19" xfId="0" applyFont="1" applyFill="1" applyBorder="1" applyAlignment="1" applyProtection="1">
      <alignment horizontal="right" indent="1"/>
      <protection locked="0"/>
    </xf>
    <xf numFmtId="0" fontId="2" fillId="28" borderId="10" xfId="0" applyFont="1" applyFill="1" applyBorder="1" applyAlignment="1" applyProtection="1">
      <alignment horizontal="right" indent="1"/>
      <protection locked="0"/>
    </xf>
    <xf numFmtId="0" fontId="2" fillId="0" borderId="22" xfId="0" applyFont="1" applyBorder="1" applyAlignment="1">
      <alignment horizontal="right" indent="1"/>
    </xf>
    <xf numFmtId="0" fontId="2" fillId="25" borderId="19" xfId="0" applyFont="1" applyFill="1" applyBorder="1"/>
    <xf numFmtId="0" fontId="2" fillId="25" borderId="10" xfId="0" applyFont="1" applyFill="1" applyBorder="1"/>
    <xf numFmtId="0" fontId="2" fillId="25" borderId="22" xfId="0" applyFont="1" applyFill="1" applyBorder="1"/>
    <xf numFmtId="0" fontId="4" fillId="28" borderId="10" xfId="31" applyFont="1" applyFill="1" applyBorder="1" applyAlignment="1" applyProtection="1"/>
    <xf numFmtId="0" fontId="2" fillId="0" borderId="16" xfId="0" applyFont="1" applyBorder="1"/>
    <xf numFmtId="0" fontId="4" fillId="0" borderId="16" xfId="0" applyFont="1" applyBorder="1"/>
    <xf numFmtId="0" fontId="2" fillId="28" borderId="0" xfId="0" applyFont="1" applyFill="1"/>
    <xf numFmtId="0" fontId="28" fillId="0" borderId="16" xfId="0" applyFont="1" applyBorder="1"/>
    <xf numFmtId="0" fontId="28" fillId="0" borderId="16" xfId="0" applyFont="1" applyBorder="1" applyAlignment="1">
      <alignment vertical="top"/>
    </xf>
    <xf numFmtId="0" fontId="3" fillId="0" borderId="16" xfId="0" applyFont="1" applyBorder="1" applyAlignment="1">
      <alignment horizontal="left" vertical="top"/>
    </xf>
    <xf numFmtId="0" fontId="3" fillId="0" borderId="16" xfId="0" applyFont="1" applyBorder="1" applyAlignment="1">
      <alignment horizontal="left"/>
    </xf>
    <xf numFmtId="164" fontId="3" fillId="31" borderId="15" xfId="21" applyFont="1" applyFill="1" applyBorder="1" applyAlignment="1" applyProtection="1"/>
    <xf numFmtId="0" fontId="31" fillId="39" borderId="15" xfId="0" applyFont="1" applyFill="1" applyBorder="1" applyAlignment="1">
      <alignment vertical="center" wrapText="1"/>
    </xf>
    <xf numFmtId="164" fontId="6" fillId="40" borderId="15" xfId="21" applyFont="1" applyFill="1" applyBorder="1" applyAlignment="1" applyProtection="1"/>
    <xf numFmtId="164" fontId="3" fillId="40" borderId="15" xfId="21" applyFont="1" applyFill="1" applyBorder="1" applyAlignment="1" applyProtection="1"/>
    <xf numFmtId="0" fontId="33" fillId="0" borderId="0" xfId="0" applyFont="1"/>
    <xf numFmtId="0" fontId="34" fillId="0" borderId="0" xfId="0" applyFont="1"/>
    <xf numFmtId="10" fontId="34" fillId="0" borderId="0" xfId="38" applyNumberFormat="1" applyFont="1" applyFill="1" applyBorder="1" applyProtection="1"/>
    <xf numFmtId="165" fontId="34" fillId="0" borderId="0" xfId="38" applyNumberFormat="1" applyFont="1" applyFill="1" applyBorder="1" applyProtection="1"/>
    <xf numFmtId="0" fontId="4" fillId="0" borderId="0" xfId="0" applyFont="1" applyAlignment="1">
      <alignment horizontal="right"/>
    </xf>
    <xf numFmtId="0" fontId="26" fillId="29" borderId="17" xfId="0" applyFont="1" applyFill="1" applyBorder="1" applyAlignment="1">
      <alignment horizontal="center" vertical="center"/>
    </xf>
    <xf numFmtId="164" fontId="2" fillId="0" borderId="0" xfId="21" applyFont="1" applyFill="1" applyBorder="1" applyAlignment="1" applyProtection="1">
      <alignment horizontal="center"/>
      <protection locked="0"/>
    </xf>
    <xf numFmtId="0" fontId="4" fillId="0" borderId="0" xfId="0" applyFont="1" applyAlignment="1">
      <alignment horizontal="center" wrapText="1"/>
    </xf>
    <xf numFmtId="0" fontId="4" fillId="30" borderId="18" xfId="0" applyFont="1" applyFill="1" applyBorder="1" applyAlignment="1">
      <alignment horizontal="center" vertical="center"/>
    </xf>
    <xf numFmtId="0" fontId="4" fillId="30" borderId="10" xfId="0" applyFont="1" applyFill="1" applyBorder="1" applyAlignment="1">
      <alignment horizontal="center" vertical="center"/>
    </xf>
    <xf numFmtId="164" fontId="3" fillId="41" borderId="15" xfId="21" applyFont="1" applyFill="1" applyBorder="1" applyAlignment="1" applyProtection="1">
      <alignment horizontal="center"/>
    </xf>
    <xf numFmtId="164" fontId="3" fillId="41" borderId="18" xfId="21" applyFont="1" applyFill="1" applyBorder="1" applyAlignment="1" applyProtection="1">
      <alignment horizontal="center"/>
    </xf>
    <xf numFmtId="0" fontId="4" fillId="0" borderId="0" xfId="0" applyFont="1" applyAlignment="1">
      <alignment horizontal="center" wrapText="1"/>
    </xf>
    <xf numFmtId="0" fontId="4" fillId="30" borderId="18" xfId="0" applyFont="1" applyFill="1" applyBorder="1" applyAlignment="1">
      <alignment horizontal="center" vertical="center"/>
    </xf>
    <xf numFmtId="0" fontId="4" fillId="30" borderId="10" xfId="0" applyFont="1" applyFill="1" applyBorder="1" applyAlignment="1">
      <alignment horizontal="center" vertical="center"/>
    </xf>
    <xf numFmtId="0" fontId="4" fillId="33" borderId="10" xfId="0" applyFont="1" applyFill="1" applyBorder="1" applyAlignment="1">
      <alignment horizontal="center" vertical="center" wrapText="1"/>
    </xf>
    <xf numFmtId="0" fontId="26" fillId="32" borderId="10" xfId="0" applyFont="1" applyFill="1" applyBorder="1" applyAlignment="1">
      <alignment horizontal="center" vertical="center" wrapText="1"/>
    </xf>
    <xf numFmtId="164" fontId="2" fillId="28" borderId="15" xfId="21" applyFont="1" applyFill="1" applyBorder="1" applyAlignment="1" applyProtection="1">
      <alignment horizontal="center"/>
      <protection locked="0"/>
    </xf>
    <xf numFmtId="164" fontId="2" fillId="28" borderId="18" xfId="21" applyFont="1" applyFill="1" applyBorder="1" applyAlignment="1" applyProtection="1">
      <alignment horizontal="center"/>
      <protection locked="0"/>
    </xf>
    <xf numFmtId="164" fontId="1" fillId="28" borderId="10" xfId="21" applyFont="1" applyFill="1" applyBorder="1" applyAlignment="1" applyProtection="1">
      <alignment horizontal="center"/>
      <protection locked="0"/>
    </xf>
    <xf numFmtId="164" fontId="1" fillId="28" borderId="20" xfId="21" applyFont="1" applyFill="1" applyBorder="1" applyAlignment="1" applyProtection="1">
      <alignment horizontal="center"/>
      <protection locked="0"/>
    </xf>
    <xf numFmtId="164" fontId="28" fillId="28" borderId="23" xfId="21" applyFont="1" applyFill="1" applyBorder="1" applyAlignment="1" applyProtection="1">
      <alignment horizontal="center"/>
    </xf>
    <xf numFmtId="164" fontId="28" fillId="28" borderId="24" xfId="21" applyFont="1" applyFill="1" applyBorder="1" applyAlignment="1" applyProtection="1">
      <alignment horizontal="center"/>
    </xf>
    <xf numFmtId="164" fontId="4" fillId="28" borderId="21" xfId="21" applyFont="1" applyFill="1" applyBorder="1" applyAlignment="1" applyProtection="1">
      <alignment horizontal="center"/>
    </xf>
    <xf numFmtId="0" fontId="28" fillId="28" borderId="21" xfId="0" applyFont="1" applyFill="1" applyBorder="1" applyAlignment="1">
      <alignment horizontal="center"/>
    </xf>
    <xf numFmtId="0" fontId="4" fillId="33" borderId="27" xfId="0" applyFont="1" applyFill="1" applyBorder="1" applyAlignment="1">
      <alignment horizontal="center" vertical="center" wrapText="1"/>
    </xf>
    <xf numFmtId="0" fontId="4" fillId="37" borderId="10" xfId="0" applyFont="1" applyFill="1" applyBorder="1" applyAlignment="1">
      <alignment horizontal="center" vertical="center" wrapText="1"/>
    </xf>
    <xf numFmtId="0" fontId="4" fillId="37" borderId="27" xfId="0" applyFont="1" applyFill="1" applyBorder="1" applyAlignment="1">
      <alignment horizontal="center" vertical="center" wrapText="1"/>
    </xf>
    <xf numFmtId="164" fontId="4" fillId="28" borderId="22" xfId="21" applyFont="1" applyFill="1" applyBorder="1" applyAlignment="1" applyProtection="1">
      <alignment horizontal="center"/>
    </xf>
    <xf numFmtId="0" fontId="4" fillId="31" borderId="22" xfId="0" applyFont="1" applyFill="1" applyBorder="1" applyAlignment="1">
      <alignment horizontal="left"/>
    </xf>
    <xf numFmtId="164" fontId="2" fillId="25" borderId="29" xfId="21" applyFont="1" applyFill="1" applyBorder="1" applyAlignment="1" applyProtection="1">
      <alignment horizontal="center"/>
    </xf>
    <xf numFmtId="164" fontId="2" fillId="25" borderId="25" xfId="21" applyFont="1" applyFill="1" applyBorder="1" applyAlignment="1" applyProtection="1">
      <alignment horizontal="center"/>
    </xf>
    <xf numFmtId="0" fontId="3" fillId="28" borderId="10" xfId="0" applyFont="1" applyFill="1" applyBorder="1" applyAlignment="1">
      <alignment horizontal="center"/>
    </xf>
    <xf numFmtId="164" fontId="6" fillId="41" borderId="15" xfId="21" applyFont="1" applyFill="1" applyBorder="1" applyAlignment="1" applyProtection="1">
      <alignment horizontal="center"/>
      <protection locked="0"/>
    </xf>
    <xf numFmtId="164" fontId="6" fillId="41" borderId="18" xfId="21" applyFont="1" applyFill="1" applyBorder="1" applyAlignment="1" applyProtection="1">
      <alignment horizontal="center"/>
      <protection locked="0"/>
    </xf>
    <xf numFmtId="0" fontId="0" fillId="0" borderId="12" xfId="0" applyBorder="1" applyAlignment="1">
      <alignment horizontal="center"/>
    </xf>
    <xf numFmtId="0" fontId="32" fillId="28" borderId="0" xfId="0" applyFont="1" applyFill="1" applyAlignment="1">
      <alignment horizontal="left"/>
    </xf>
    <xf numFmtId="0" fontId="0" fillId="0" borderId="11" xfId="0" applyBorder="1" applyAlignment="1">
      <alignment horizontal="center"/>
    </xf>
    <xf numFmtId="0" fontId="4" fillId="0" borderId="0" xfId="0" applyFont="1" applyAlignment="1">
      <alignment horizontal="right"/>
    </xf>
    <xf numFmtId="0" fontId="33" fillId="0" borderId="0" xfId="0" applyFont="1" applyAlignment="1">
      <alignment horizontal="center"/>
    </xf>
    <xf numFmtId="0" fontId="3" fillId="31" borderId="0" xfId="0" applyFont="1" applyFill="1" applyAlignment="1">
      <alignment horizontal="center"/>
    </xf>
    <xf numFmtId="0" fontId="3" fillId="31" borderId="32" xfId="0" applyFont="1" applyFill="1" applyBorder="1" applyAlignment="1">
      <alignment horizontal="center"/>
    </xf>
    <xf numFmtId="164" fontId="3" fillId="31" borderId="15" xfId="21" applyFont="1" applyFill="1" applyBorder="1" applyAlignment="1" applyProtection="1">
      <alignment horizontal="center"/>
    </xf>
    <xf numFmtId="164" fontId="3" fillId="31" borderId="18" xfId="21" applyFont="1" applyFill="1" applyBorder="1" applyAlignment="1" applyProtection="1">
      <alignment horizontal="center"/>
    </xf>
    <xf numFmtId="0" fontId="30" fillId="28" borderId="0" xfId="0" applyFont="1" applyFill="1" applyAlignment="1">
      <alignment horizontal="center"/>
    </xf>
    <xf numFmtId="0" fontId="30" fillId="28" borderId="32" xfId="0" applyFont="1" applyFill="1" applyBorder="1" applyAlignment="1">
      <alignment horizontal="center"/>
    </xf>
    <xf numFmtId="0" fontId="4" fillId="31" borderId="10" xfId="0" applyFont="1" applyFill="1" applyBorder="1" applyAlignment="1">
      <alignment horizontal="left"/>
    </xf>
    <xf numFmtId="0" fontId="35" fillId="0" borderId="0" xfId="0" applyFont="1" applyAlignment="1">
      <alignment horizontal="right"/>
    </xf>
    <xf numFmtId="0" fontId="3" fillId="28" borderId="0" xfId="0" applyFont="1" applyFill="1" applyAlignment="1">
      <alignment horizontal="center"/>
    </xf>
    <xf numFmtId="0" fontId="3" fillId="28" borderId="32" xfId="0" applyFont="1" applyFill="1" applyBorder="1" applyAlignment="1">
      <alignment horizontal="center"/>
    </xf>
    <xf numFmtId="164" fontId="2" fillId="28" borderId="10" xfId="21" applyFont="1" applyFill="1" applyBorder="1" applyAlignment="1" applyProtection="1">
      <alignment horizontal="center"/>
      <protection locked="0"/>
    </xf>
    <xf numFmtId="0" fontId="31" fillId="39" borderId="15" xfId="0" applyFont="1" applyFill="1" applyBorder="1" applyAlignment="1">
      <alignment horizontal="center" vertical="center" wrapText="1"/>
    </xf>
    <xf numFmtId="0" fontId="31" fillId="39" borderId="18" xfId="0" applyFont="1" applyFill="1" applyBorder="1" applyAlignment="1">
      <alignment horizontal="center" vertical="center" wrapText="1"/>
    </xf>
    <xf numFmtId="0" fontId="26" fillId="29" borderId="30" xfId="0" applyFont="1" applyFill="1" applyBorder="1" applyAlignment="1">
      <alignment horizontal="center" vertical="center" wrapText="1"/>
    </xf>
    <xf numFmtId="0" fontId="26" fillId="29" borderId="31" xfId="0" applyFont="1" applyFill="1" applyBorder="1" applyAlignment="1">
      <alignment horizontal="center" vertical="center" wrapText="1"/>
    </xf>
    <xf numFmtId="0" fontId="26" fillId="29" borderId="34" xfId="0" applyFont="1" applyFill="1" applyBorder="1" applyAlignment="1">
      <alignment horizontal="center" vertical="center" wrapText="1"/>
    </xf>
    <xf numFmtId="0" fontId="26" fillId="29" borderId="35" xfId="0" applyFont="1" applyFill="1" applyBorder="1" applyAlignment="1">
      <alignment horizontal="center" vertical="center" wrapText="1"/>
    </xf>
    <xf numFmtId="0" fontId="4" fillId="30" borderId="28" xfId="0" applyFont="1" applyFill="1" applyBorder="1" applyAlignment="1">
      <alignment horizontal="center" vertical="center" wrapText="1"/>
    </xf>
    <xf numFmtId="0" fontId="4" fillId="30" borderId="26" xfId="0" applyFont="1" applyFill="1" applyBorder="1" applyAlignment="1">
      <alignment horizontal="center" vertical="center" wrapText="1"/>
    </xf>
    <xf numFmtId="0" fontId="4" fillId="30" borderId="29" xfId="0" applyFont="1" applyFill="1" applyBorder="1" applyAlignment="1">
      <alignment horizontal="center" vertical="center" wrapText="1"/>
    </xf>
    <xf numFmtId="0" fontId="4" fillId="30" borderId="25" xfId="0" applyFont="1" applyFill="1" applyBorder="1" applyAlignment="1">
      <alignment horizontal="center" vertical="center" wrapText="1"/>
    </xf>
    <xf numFmtId="0" fontId="26" fillId="29" borderId="17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32" xfId="0" applyFont="1" applyBorder="1" applyAlignment="1">
      <alignment horizontal="center"/>
    </xf>
    <xf numFmtId="0" fontId="4" fillId="38" borderId="10" xfId="0" applyFont="1" applyFill="1" applyBorder="1" applyAlignment="1">
      <alignment horizontal="center"/>
    </xf>
    <xf numFmtId="164" fontId="28" fillId="28" borderId="33" xfId="21" applyFont="1" applyFill="1" applyBorder="1" applyAlignment="1" applyProtection="1">
      <alignment horizontal="center"/>
    </xf>
    <xf numFmtId="164" fontId="28" fillId="28" borderId="13" xfId="21" applyFont="1" applyFill="1" applyBorder="1" applyAlignment="1" applyProtection="1">
      <alignment horizontal="center"/>
    </xf>
    <xf numFmtId="0" fontId="4" fillId="27" borderId="10" xfId="0" applyFont="1" applyFill="1" applyBorder="1" applyAlignment="1">
      <alignment horizontal="center"/>
    </xf>
    <xf numFmtId="0" fontId="4" fillId="24" borderId="10" xfId="0" applyFont="1" applyFill="1" applyBorder="1" applyAlignment="1">
      <alignment horizontal="center"/>
    </xf>
    <xf numFmtId="0" fontId="4" fillId="25" borderId="10" xfId="0" applyFont="1" applyFill="1" applyBorder="1" applyAlignment="1">
      <alignment horizontal="center"/>
    </xf>
    <xf numFmtId="164" fontId="2" fillId="0" borderId="0" xfId="21" applyFont="1" applyFill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left" vertical="top" wrapText="1"/>
      <protection locked="0"/>
    </xf>
    <xf numFmtId="0" fontId="4" fillId="26" borderId="10" xfId="0" applyFont="1" applyFill="1" applyBorder="1" applyAlignment="1">
      <alignment horizontal="center"/>
    </xf>
    <xf numFmtId="164" fontId="0" fillId="28" borderId="20" xfId="21" applyFont="1" applyFill="1" applyBorder="1" applyAlignment="1" applyProtection="1">
      <alignment horizontal="center"/>
      <protection locked="0"/>
    </xf>
    <xf numFmtId="164" fontId="0" fillId="28" borderId="10" xfId="21" applyFont="1" applyFill="1" applyBorder="1" applyProtection="1">
      <protection locked="0"/>
    </xf>
    <xf numFmtId="164" fontId="4" fillId="28" borderId="10" xfId="21" applyFont="1" applyFill="1" applyBorder="1"/>
    <xf numFmtId="164" fontId="0" fillId="31" borderId="10" xfId="21" applyFont="1" applyFill="1" applyBorder="1"/>
    <xf numFmtId="164" fontId="0" fillId="25" borderId="29" xfId="21" applyFont="1" applyFill="1" applyBorder="1" applyAlignment="1">
      <alignment horizontal="center"/>
    </xf>
    <xf numFmtId="164" fontId="0" fillId="25" borderId="25" xfId="21" applyFont="1" applyFill="1" applyBorder="1" applyAlignment="1">
      <alignment horizontal="center"/>
    </xf>
    <xf numFmtId="44" fontId="1" fillId="28" borderId="0" xfId="0" applyNumberFormat="1" applyFont="1" applyFill="1"/>
  </cellXfs>
  <cellStyles count="46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40% - Accent1" xfId="7" xr:uid="{00000000-0005-0000-0000-00000C000000}"/>
    <cellStyle name="40% - Accent2" xfId="8" xr:uid="{00000000-0005-0000-0000-00000D000000}"/>
    <cellStyle name="40% - Accent3" xfId="9" xr:uid="{00000000-0005-0000-0000-00000E000000}"/>
    <cellStyle name="40% - Accent4" xfId="10" xr:uid="{00000000-0005-0000-0000-00000F000000}"/>
    <cellStyle name="40% - Accent5" xfId="11" xr:uid="{00000000-0005-0000-0000-000010000000}"/>
    <cellStyle name="40% - Accent6" xfId="12" xr:uid="{00000000-0005-0000-0000-000011000000}"/>
    <cellStyle name="60% - Accent1" xfId="13" xr:uid="{00000000-0005-0000-0000-000018000000}"/>
    <cellStyle name="60% - Accent2" xfId="14" xr:uid="{00000000-0005-0000-0000-000019000000}"/>
    <cellStyle name="60% - Accent3" xfId="15" xr:uid="{00000000-0005-0000-0000-00001A000000}"/>
    <cellStyle name="60% - Accent4" xfId="16" xr:uid="{00000000-0005-0000-0000-00001B000000}"/>
    <cellStyle name="60% - Accent5" xfId="17" xr:uid="{00000000-0005-0000-0000-00001C000000}"/>
    <cellStyle name="60% - Accent6" xfId="18" xr:uid="{00000000-0005-0000-0000-00001D000000}"/>
    <cellStyle name="Accent1" xfId="22" xr:uid="{00000000-0005-0000-0000-000024000000}"/>
    <cellStyle name="Accent2" xfId="23" xr:uid="{00000000-0005-0000-0000-000025000000}"/>
    <cellStyle name="Accent3" xfId="24" xr:uid="{00000000-0005-0000-0000-000026000000}"/>
    <cellStyle name="Accent4" xfId="25" xr:uid="{00000000-0005-0000-0000-000027000000}"/>
    <cellStyle name="Accent5" xfId="26" xr:uid="{00000000-0005-0000-0000-000028000000}"/>
    <cellStyle name="Accent6" xfId="27" xr:uid="{00000000-0005-0000-0000-000029000000}"/>
    <cellStyle name="Bad" xfId="32" xr:uid="{00000000-0005-0000-0000-00002A000000}"/>
    <cellStyle name="Calculation" xfId="19" xr:uid="{00000000-0005-0000-0000-00002C000000}"/>
    <cellStyle name="Check Cell" xfId="20" builtinId="23" customBuiltin="1"/>
    <cellStyle name="Currency" xfId="21" builtinId="4"/>
    <cellStyle name="Explanatory Text" xfId="40" xr:uid="{00000000-0005-0000-0000-000039000000}"/>
    <cellStyle name="Good" xfId="28" builtinId="26" customBuiltin="1"/>
    <cellStyle name="Heading 1" xfId="29" builtinId="16" customBuiltin="1"/>
    <cellStyle name="Heading 2" xfId="42" xr:uid="{00000000-0005-0000-0000-00003C000000}"/>
    <cellStyle name="Heading 3" xfId="43" xr:uid="{00000000-0005-0000-0000-00003D000000}"/>
    <cellStyle name="Heading 4" xfId="30" builtinId="19" customBuiltin="1"/>
    <cellStyle name="Hyperlink" xfId="31" builtinId="8"/>
    <cellStyle name="Input" xfId="33" builtinId="20" customBuiltin="1"/>
    <cellStyle name="Linked Cell" xfId="34" builtinId="24" customBuiltin="1"/>
    <cellStyle name="Neutral" xfId="35" builtinId="28" customBuiltin="1"/>
    <cellStyle name="Normal" xfId="0" builtinId="0"/>
    <cellStyle name="Normal 2" xfId="36" xr:uid="{00000000-0005-0000-0000-000046000000}"/>
    <cellStyle name="Note" xfId="37" builtinId="10" customBuiltin="1"/>
    <cellStyle name="Output" xfId="39" xr:uid="{00000000-0005-0000-0000-000049000000}"/>
    <cellStyle name="Percent" xfId="38" builtinId="5"/>
    <cellStyle name="Title" xfId="41" xr:uid="{00000000-0005-0000-0000-00004E000000}"/>
    <cellStyle name="Total" xfId="44" builtinId="25" customBuiltin="1"/>
    <cellStyle name="Warning Text" xfId="45" builtinId="11" customBuiltin="1"/>
  </cellStyles>
  <dxfs count="30">
    <dxf>
      <font>
        <b/>
        <i val="0"/>
        <condense val="0"/>
        <extend val="0"/>
      </font>
      <fill>
        <patternFill>
          <bgColor indexed="43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26"/>
        </patternFill>
      </fill>
    </dxf>
    <dxf>
      <font>
        <b/>
        <i val="0"/>
        <condense val="0"/>
        <extend val="0"/>
      </font>
      <fill>
        <patternFill>
          <bgColor indexed="43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3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13"/>
      </font>
      <fill>
        <patternFill>
          <bgColor indexed="13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13"/>
      </font>
      <fill>
        <patternFill>
          <bgColor indexed="13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13"/>
      </font>
      <fill>
        <patternFill>
          <bgColor indexed="13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ill>
        <patternFill>
          <bgColor indexed="26"/>
        </patternFill>
      </fill>
    </dxf>
    <dxf>
      <font>
        <condense val="0"/>
        <extend val="0"/>
        <color auto="1"/>
      </font>
      <fill>
        <patternFill>
          <bgColor indexed="26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ont>
        <condense val="0"/>
        <extend val="0"/>
        <color auto="1"/>
      </font>
      <fill>
        <patternFill>
          <bgColor indexed="51"/>
        </patternFill>
      </fill>
    </dxf>
    <dxf>
      <font>
        <condense val="0"/>
        <extend val="0"/>
        <color indexed="9"/>
      </font>
      <fill>
        <patternFill patternType="solid"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9"/>
      </font>
      <fill>
        <patternFill patternType="solid">
          <bgColor indexed="10"/>
        </patternFill>
      </fill>
    </dxf>
    <dxf>
      <font>
        <condense val="0"/>
        <extend val="0"/>
        <color indexed="13"/>
      </font>
      <fill>
        <patternFill>
          <bgColor indexed="13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  <fill>
        <patternFill>
          <bgColor indexed="43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922023600539369E-2"/>
          <c:y val="5.0816696914700546E-2"/>
          <c:w val="0.72776907294707327"/>
          <c:h val="0.80217785843920142"/>
        </c:manualLayout>
      </c:layout>
      <c:lineChart>
        <c:grouping val="standard"/>
        <c:varyColors val="0"/>
        <c:ser>
          <c:idx val="0"/>
          <c:order val="0"/>
          <c:tx>
            <c:strRef>
              <c:f>Presupuesto!$F$68</c:f>
              <c:strCache>
                <c:ptCount val="1"/>
                <c:pt idx="0">
                  <c:v>Recursos Externos (Servicios Profesionales)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multiLvlStrRef>
              <c:f>Presupuesto!$G$66:$Z$67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Año 1</c:v>
                  </c:pt>
                  <c:pt idx="4">
                    <c:v>Año 2</c:v>
                  </c:pt>
                  <c:pt idx="8">
                    <c:v>Año 3</c:v>
                  </c:pt>
                  <c:pt idx="12">
                    <c:v>Año 4</c:v>
                  </c:pt>
                  <c:pt idx="16">
                    <c:v>Año 5</c:v>
                  </c:pt>
                </c:lvl>
              </c:multiLvlStrCache>
            </c:multiLvlStrRef>
          </c:cat>
          <c:val>
            <c:numRef>
              <c:f>Presupuesto!$G$68:$Z$68</c:f>
              <c:numCache>
                <c:formatCode>_-"$"* #,##0.00_-;\-"$"* #,##0.00_-;_-"$"* "-"??_-;_-@_-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B5-45E2-B2AD-7996540688AF}"/>
            </c:ext>
          </c:extLst>
        </c:ser>
        <c:ser>
          <c:idx val="1"/>
          <c:order val="1"/>
          <c:tx>
            <c:strRef>
              <c:f>Presupuesto!$F$70</c:f>
              <c:strCache>
                <c:ptCount val="1"/>
                <c:pt idx="0">
                  <c:v>Hardware / Infraestructura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multiLvlStrRef>
              <c:f>Presupuesto!$G$66:$Z$67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Año 1</c:v>
                  </c:pt>
                  <c:pt idx="4">
                    <c:v>Año 2</c:v>
                  </c:pt>
                  <c:pt idx="8">
                    <c:v>Año 3</c:v>
                  </c:pt>
                  <c:pt idx="12">
                    <c:v>Año 4</c:v>
                  </c:pt>
                  <c:pt idx="16">
                    <c:v>Año 5</c:v>
                  </c:pt>
                </c:lvl>
              </c:multiLvlStrCache>
            </c:multiLvlStrRef>
          </c:cat>
          <c:val>
            <c:numRef>
              <c:f>Presupuesto!$G$70:$Z$70</c:f>
              <c:numCache>
                <c:formatCode>_-"$"* #,##0.00_-;\-"$"* #,##0.00_-;_-"$"* "-"??_-;_-@_-</c:formatCode>
                <c:ptCount val="20"/>
                <c:pt idx="0">
                  <c:v>73476.55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B5-45E2-B2AD-7996540688AF}"/>
            </c:ext>
          </c:extLst>
        </c:ser>
        <c:ser>
          <c:idx val="2"/>
          <c:order val="2"/>
          <c:tx>
            <c:strRef>
              <c:f>Presupuesto!$F$71</c:f>
              <c:strCache>
                <c:ptCount val="1"/>
                <c:pt idx="0">
                  <c:v>Software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cat>
            <c:multiLvlStrRef>
              <c:f>Presupuesto!$G$66:$Z$67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Año 1</c:v>
                  </c:pt>
                  <c:pt idx="4">
                    <c:v>Año 2</c:v>
                  </c:pt>
                  <c:pt idx="8">
                    <c:v>Año 3</c:v>
                  </c:pt>
                  <c:pt idx="12">
                    <c:v>Año 4</c:v>
                  </c:pt>
                  <c:pt idx="16">
                    <c:v>Año 5</c:v>
                  </c:pt>
                </c:lvl>
              </c:multiLvlStrCache>
            </c:multiLvlStrRef>
          </c:cat>
          <c:val>
            <c:numRef>
              <c:f>Presupuesto!$G$71:$Z$71</c:f>
              <c:numCache>
                <c:formatCode>_-"$"* #,##0.00_-;\-"$"* #,##0.00_-;_-"$"* "-"??_-;_-@_-</c:formatCode>
                <c:ptCount val="20"/>
                <c:pt idx="0">
                  <c:v>8880</c:v>
                </c:pt>
                <c:pt idx="1">
                  <c:v>8880</c:v>
                </c:pt>
                <c:pt idx="2">
                  <c:v>8880</c:v>
                </c:pt>
                <c:pt idx="3">
                  <c:v>8880</c:v>
                </c:pt>
                <c:pt idx="4">
                  <c:v>10212</c:v>
                </c:pt>
                <c:pt idx="5">
                  <c:v>10212</c:v>
                </c:pt>
                <c:pt idx="6">
                  <c:v>10212</c:v>
                </c:pt>
                <c:pt idx="7">
                  <c:v>10212</c:v>
                </c:pt>
                <c:pt idx="8">
                  <c:v>11233.2</c:v>
                </c:pt>
                <c:pt idx="9">
                  <c:v>11233.2</c:v>
                </c:pt>
                <c:pt idx="10">
                  <c:v>11233.2</c:v>
                </c:pt>
                <c:pt idx="11">
                  <c:v>11233.2</c:v>
                </c:pt>
                <c:pt idx="12">
                  <c:v>12918.18</c:v>
                </c:pt>
                <c:pt idx="13">
                  <c:v>12918.18</c:v>
                </c:pt>
                <c:pt idx="14">
                  <c:v>12918.18</c:v>
                </c:pt>
                <c:pt idx="15">
                  <c:v>12918.18</c:v>
                </c:pt>
                <c:pt idx="16">
                  <c:v>14209.998000000001</c:v>
                </c:pt>
                <c:pt idx="17">
                  <c:v>14209.998000000001</c:v>
                </c:pt>
                <c:pt idx="18">
                  <c:v>14209.998000000001</c:v>
                </c:pt>
                <c:pt idx="19">
                  <c:v>14209.998000000001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B5-45E2-B2AD-7996540688AF}"/>
            </c:ext>
          </c:extLst>
        </c:ser>
        <c:ser>
          <c:idx val="3"/>
          <c:order val="3"/>
          <c:tx>
            <c:strRef>
              <c:f>Presupuesto!$F$72</c:f>
              <c:strCache>
                <c:ptCount val="1"/>
                <c:pt idx="0">
                  <c:v>Capacitación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cat>
            <c:multiLvlStrRef>
              <c:f>Presupuesto!$G$66:$Z$67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Año 1</c:v>
                  </c:pt>
                  <c:pt idx="4">
                    <c:v>Año 2</c:v>
                  </c:pt>
                  <c:pt idx="8">
                    <c:v>Año 3</c:v>
                  </c:pt>
                  <c:pt idx="12">
                    <c:v>Año 4</c:v>
                  </c:pt>
                  <c:pt idx="16">
                    <c:v>Año 5</c:v>
                  </c:pt>
                </c:lvl>
              </c:multiLvlStrCache>
            </c:multiLvlStrRef>
          </c:cat>
          <c:val>
            <c:numRef>
              <c:f>Presupuesto!$G$72:$Z$72</c:f>
              <c:numCache>
                <c:formatCode>_-"$"* #,##0.00_-;\-"$"* #,##0.00_-;_-"$"* "-"??_-;_-@_-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B5-45E2-B2AD-7996540688AF}"/>
            </c:ext>
          </c:extLst>
        </c:ser>
        <c:ser>
          <c:idx val="4"/>
          <c:order val="4"/>
          <c:tx>
            <c:strRef>
              <c:f>Presupuesto!$F$73</c:f>
              <c:strCache>
                <c:ptCount val="1"/>
                <c:pt idx="0">
                  <c:v>Viáticos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multiLvlStrRef>
              <c:f>Presupuesto!$G$66:$Z$67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Año 1</c:v>
                  </c:pt>
                  <c:pt idx="4">
                    <c:v>Año 2</c:v>
                  </c:pt>
                  <c:pt idx="8">
                    <c:v>Año 3</c:v>
                  </c:pt>
                  <c:pt idx="12">
                    <c:v>Año 4</c:v>
                  </c:pt>
                  <c:pt idx="16">
                    <c:v>Año 5</c:v>
                  </c:pt>
                </c:lvl>
              </c:multiLvlStrCache>
            </c:multiLvlStrRef>
          </c:cat>
          <c:val>
            <c:numRef>
              <c:f>Presupuesto!$G$73:$Z$73</c:f>
              <c:numCache>
                <c:formatCode>_-"$"* #,##0.00_-;\-"$"* #,##0.00_-;_-"$"* "-"??_-;_-@_-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DB5-45E2-B2AD-7996540688AF}"/>
            </c:ext>
          </c:extLst>
        </c:ser>
        <c:ser>
          <c:idx val="5"/>
          <c:order val="5"/>
          <c:tx>
            <c:strRef>
              <c:f>Presupuesto!$F$74</c:f>
              <c:strCache>
                <c:ptCount val="1"/>
                <c:pt idx="0">
                  <c:v>Otros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cat>
            <c:multiLvlStrRef>
              <c:f>Presupuesto!$G$66:$Z$67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Año 1</c:v>
                  </c:pt>
                  <c:pt idx="4">
                    <c:v>Año 2</c:v>
                  </c:pt>
                  <c:pt idx="8">
                    <c:v>Año 3</c:v>
                  </c:pt>
                  <c:pt idx="12">
                    <c:v>Año 4</c:v>
                  </c:pt>
                  <c:pt idx="16">
                    <c:v>Año 5</c:v>
                  </c:pt>
                </c:lvl>
              </c:multiLvlStrCache>
            </c:multiLvlStrRef>
          </c:cat>
          <c:val>
            <c:numRef>
              <c:f>Presupuesto!$G$74:$Z$74</c:f>
              <c:numCache>
                <c:formatCode>_-"$"* #,##0.00_-;\-"$"* #,##0.00_-;_-"$"* "-"??_-;_-@_-</c:formatCode>
                <c:ptCount val="20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2530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2909.5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3200.4500000000003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DB5-45E2-B2AD-7996540688AF}"/>
            </c:ext>
          </c:extLst>
        </c:ser>
        <c:ser>
          <c:idx val="6"/>
          <c:order val="6"/>
          <c:tx>
            <c:strRef>
              <c:f>Presupuesto!$F$75</c:f>
              <c:strCache>
                <c:ptCount val="1"/>
                <c:pt idx="0">
                  <c:v>Costos Anuales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cat>
            <c:multiLvlStrRef>
              <c:f>Presupuesto!$G$66:$Z$67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Año 1</c:v>
                  </c:pt>
                  <c:pt idx="4">
                    <c:v>Año 2</c:v>
                  </c:pt>
                  <c:pt idx="8">
                    <c:v>Año 3</c:v>
                  </c:pt>
                  <c:pt idx="12">
                    <c:v>Año 4</c:v>
                  </c:pt>
                  <c:pt idx="16">
                    <c:v>Año 5</c:v>
                  </c:pt>
                </c:lvl>
              </c:multiLvlStrCache>
            </c:multiLvlStrRef>
          </c:cat>
          <c:val>
            <c:numRef>
              <c:f>Presupuesto!$G$75:$Z$75</c:f>
              <c:numCache>
                <c:formatCode>_-"$"* #,##0.00_-;\-"$"* #,##0.00_-;_-"$"* "-"??_-;_-@_-</c:formatCode>
                <c:ptCount val="20"/>
                <c:pt idx="0">
                  <c:v>108996.55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125346.03249999999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137880.63574999999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158562.73111249998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174419.00422375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DB5-45E2-B2AD-7996540688AF}"/>
            </c:ext>
          </c:extLst>
        </c:ser>
        <c:ser>
          <c:idx val="7"/>
          <c:order val="7"/>
          <c:tx>
            <c:strRef>
              <c:f>Presupuesto!$F$76</c:f>
              <c:strCache>
                <c:ptCount val="1"/>
                <c:pt idx="0">
                  <c:v>Harware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multiLvlStrRef>
              <c:f>Presupuesto!$G$66:$Z$67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Año 1</c:v>
                  </c:pt>
                  <c:pt idx="4">
                    <c:v>Año 2</c:v>
                  </c:pt>
                  <c:pt idx="8">
                    <c:v>Año 3</c:v>
                  </c:pt>
                  <c:pt idx="12">
                    <c:v>Año 4</c:v>
                  </c:pt>
                  <c:pt idx="16">
                    <c:v>Año 5</c:v>
                  </c:pt>
                </c:lvl>
              </c:multiLvlStrCache>
            </c:multiLvlStrRef>
          </c:cat>
          <c:val>
            <c:numRef>
              <c:f>Presupuesto!$G$76:$Z$76</c:f>
              <c:numCache>
                <c:formatCode>_-"$"* #,##0.00_-;\-"$"* #,##0.00_-;_-"$"* "-"??_-;_-@_-</c:formatCode>
                <c:ptCount val="20"/>
                <c:pt idx="0">
                  <c:v>73476.55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DB5-45E2-B2AD-7996540688AF}"/>
            </c:ext>
          </c:extLst>
        </c:ser>
        <c:ser>
          <c:idx val="8"/>
          <c:order val="8"/>
          <c:tx>
            <c:strRef>
              <c:f>Presupuesto!$F$77</c:f>
              <c:strCache>
                <c:ptCount val="1"/>
                <c:pt idx="0">
                  <c:v>Software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multiLvlStrRef>
              <c:f>Presupuesto!$G$66:$Z$67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Año 1</c:v>
                  </c:pt>
                  <c:pt idx="4">
                    <c:v>Año 2</c:v>
                  </c:pt>
                  <c:pt idx="8">
                    <c:v>Año 3</c:v>
                  </c:pt>
                  <c:pt idx="12">
                    <c:v>Año 4</c:v>
                  </c:pt>
                  <c:pt idx="16">
                    <c:v>Año 5</c:v>
                  </c:pt>
                </c:lvl>
              </c:multiLvlStrCache>
            </c:multiLvlStrRef>
          </c:cat>
          <c:val>
            <c:numRef>
              <c:f>Presupuesto!$G$77:$Z$77</c:f>
              <c:numCache>
                <c:formatCode>_-"$"* #,##0.00_-;\-"$"* #,##0.00_-;_-"$"* "-"??_-;_-@_-</c:formatCode>
                <c:ptCount val="20"/>
                <c:pt idx="0">
                  <c:v>35520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40848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44932.800000000003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51672.72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56839.992000000006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DB5-45E2-B2AD-7996540688AF}"/>
            </c:ext>
          </c:extLst>
        </c:ser>
        <c:ser>
          <c:idx val="9"/>
          <c:order val="9"/>
          <c:tx>
            <c:strRef>
              <c:f>Presupuesto!$F$78</c:f>
              <c:strCache>
                <c:ptCount val="1"/>
                <c:pt idx="0">
                  <c:v>Totales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cat>
            <c:multiLvlStrRef>
              <c:f>Presupuesto!$G$66:$Z$67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Año 1</c:v>
                  </c:pt>
                  <c:pt idx="4">
                    <c:v>Año 2</c:v>
                  </c:pt>
                  <c:pt idx="8">
                    <c:v>Año 3</c:v>
                  </c:pt>
                  <c:pt idx="12">
                    <c:v>Año 4</c:v>
                  </c:pt>
                  <c:pt idx="16">
                    <c:v>Año 5</c:v>
                  </c:pt>
                </c:lvl>
              </c:multiLvlStrCache>
            </c:multiLvlStrRef>
          </c:cat>
          <c:val>
            <c:numRef>
              <c:f>Presupuesto!$G$78:$Z$78</c:f>
              <c:numCache>
                <c:formatCode>_-"$"* #,##0.00_-;\-"$"* #,##0.00_-;_-"$"* "-"??_-;_-@_-</c:formatCode>
                <c:ptCount val="20"/>
                <c:pt idx="0">
                  <c:v>193353.1</c:v>
                </c:pt>
                <c:pt idx="1">
                  <c:v>8880</c:v>
                </c:pt>
                <c:pt idx="2">
                  <c:v>8880</c:v>
                </c:pt>
                <c:pt idx="3">
                  <c:v>8880</c:v>
                </c:pt>
                <c:pt idx="4">
                  <c:v>9430</c:v>
                </c:pt>
                <c:pt idx="5">
                  <c:v>10212</c:v>
                </c:pt>
                <c:pt idx="6">
                  <c:v>10212</c:v>
                </c:pt>
                <c:pt idx="7">
                  <c:v>10212</c:v>
                </c:pt>
                <c:pt idx="8">
                  <c:v>10373</c:v>
                </c:pt>
                <c:pt idx="9">
                  <c:v>11233.2</c:v>
                </c:pt>
                <c:pt idx="10">
                  <c:v>11233.2</c:v>
                </c:pt>
                <c:pt idx="11">
                  <c:v>11233.2</c:v>
                </c:pt>
                <c:pt idx="12">
                  <c:v>11928.949999999999</c:v>
                </c:pt>
                <c:pt idx="13">
                  <c:v>12918.18</c:v>
                </c:pt>
                <c:pt idx="14">
                  <c:v>12918.18</c:v>
                </c:pt>
                <c:pt idx="15">
                  <c:v>12918.18</c:v>
                </c:pt>
                <c:pt idx="16">
                  <c:v>13121.844999999999</c:v>
                </c:pt>
                <c:pt idx="17">
                  <c:v>14209.998000000001</c:v>
                </c:pt>
                <c:pt idx="18">
                  <c:v>14209.998000000001</c:v>
                </c:pt>
                <c:pt idx="19">
                  <c:v>14209.998000000001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DB5-45E2-B2AD-799654068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63904"/>
        <c:axId val="135165440"/>
      </c:lineChart>
      <c:catAx>
        <c:axId val="135163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35165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5165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-&quot;$&quot;* #,##0.00_-;\-&quot;$&quot;* #,##0.00_-;_-&quot;$&quot;* &quot;-&quot;??_-;_-@_-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351639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0469219085227361"/>
          <c:y val="0.23411978221415608"/>
          <c:w val="0.19094390969375985"/>
          <c:h val="0.4373865698729582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200890805329292E-2"/>
          <c:y val="4.5614113236899047E-2"/>
          <c:w val="0.80515938152811706"/>
          <c:h val="0.801755759587033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Presupuesto!$Q$117</c:f>
              <c:strCache>
                <c:ptCount val="1"/>
                <c:pt idx="0">
                  <c:v>% Total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Presupuesto!$O$118:$P$128</c:f>
              <c:multiLvlStrCache>
                <c:ptCount val="11"/>
                <c:lvl/>
                <c:lvl>
                  <c:pt idx="0">
                    <c:v>Recursos Internos</c:v>
                  </c:pt>
                  <c:pt idx="1">
                    <c:v>Recursos Externos (Servicios Profesionales)</c:v>
                  </c:pt>
                  <c:pt idx="2">
                    <c:v>Hardware / Infraestructura</c:v>
                  </c:pt>
                  <c:pt idx="3">
                    <c:v>Software</c:v>
                  </c:pt>
                  <c:pt idx="4">
                    <c:v>Capacitación</c:v>
                  </c:pt>
                  <c:pt idx="5">
                    <c:v>Viáticos</c:v>
                  </c:pt>
                  <c:pt idx="6">
                    <c:v>Otros</c:v>
                  </c:pt>
                  <c:pt idx="7">
                    <c:v>Costos Recurrentes Anuales</c:v>
                  </c:pt>
                  <c:pt idx="8">
                    <c:v>Harware</c:v>
                  </c:pt>
                  <c:pt idx="9">
                    <c:v>Software</c:v>
                  </c:pt>
                  <c:pt idx="10">
                    <c:v>Totales</c:v>
                  </c:pt>
                </c:lvl>
              </c:multiLvlStrCache>
            </c:multiLvlStrRef>
          </c:cat>
          <c:val>
            <c:numRef>
              <c:f>Presupuesto!$Q$118:$Q$128</c:f>
              <c:numCache>
                <c:formatCode>0.00%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CB-4601-B137-260E5E924CE5}"/>
            </c:ext>
          </c:extLst>
        </c:ser>
        <c:ser>
          <c:idx val="1"/>
          <c:order val="1"/>
          <c:tx>
            <c:strRef>
              <c:f>Presupuesto!$R$117</c:f>
              <c:strCache>
                <c:ptCount val="1"/>
                <c:pt idx="0">
                  <c:v>% Presupuestado a la Fecha de Reporte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-2760000" vert="horz"/>
              <a:lstStyle/>
              <a:p>
                <a:pPr algn="ctr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Presupuesto!$O$118:$P$128</c:f>
              <c:multiLvlStrCache>
                <c:ptCount val="11"/>
                <c:lvl/>
                <c:lvl>
                  <c:pt idx="0">
                    <c:v>Recursos Internos</c:v>
                  </c:pt>
                  <c:pt idx="1">
                    <c:v>Recursos Externos (Servicios Profesionales)</c:v>
                  </c:pt>
                  <c:pt idx="2">
                    <c:v>Hardware / Infraestructura</c:v>
                  </c:pt>
                  <c:pt idx="3">
                    <c:v>Software</c:v>
                  </c:pt>
                  <c:pt idx="4">
                    <c:v>Capacitación</c:v>
                  </c:pt>
                  <c:pt idx="5">
                    <c:v>Viáticos</c:v>
                  </c:pt>
                  <c:pt idx="6">
                    <c:v>Otros</c:v>
                  </c:pt>
                  <c:pt idx="7">
                    <c:v>Costos Recurrentes Anuales</c:v>
                  </c:pt>
                  <c:pt idx="8">
                    <c:v>Harware</c:v>
                  </c:pt>
                  <c:pt idx="9">
                    <c:v>Software</c:v>
                  </c:pt>
                  <c:pt idx="10">
                    <c:v>Totales</c:v>
                  </c:pt>
                </c:lvl>
              </c:multiLvlStrCache>
            </c:multiLvlStrRef>
          </c:cat>
          <c:val>
            <c:numRef>
              <c:f>Presupuesto!$R$118:$R$128</c:f>
              <c:numCache>
                <c:formatCode>0.0%</c:formatCode>
                <c:ptCount val="11"/>
                <c:pt idx="0">
                  <c:v>1.1000000000000001</c:v>
                </c:pt>
                <c:pt idx="1">
                  <c:v>0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0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0</c:v>
                </c:pt>
                <c:pt idx="9">
                  <c:v>1.1000000000000001</c:v>
                </c:pt>
                <c:pt idx="10">
                  <c:v>0.52380952380952384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CB-4601-B137-260E5E924CE5}"/>
            </c:ext>
          </c:extLst>
        </c:ser>
        <c:ser>
          <c:idx val="2"/>
          <c:order val="2"/>
          <c:tx>
            <c:strRef>
              <c:f>Presupuesto!$S$117</c:f>
              <c:strCache>
                <c:ptCount val="1"/>
                <c:pt idx="0">
                  <c:v>% Devengado a la Fecha de Reporte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-2700000" vert="horz"/>
              <a:lstStyle/>
              <a:p>
                <a:pPr algn="ctr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Presupuesto!$O$118:$P$128</c:f>
              <c:multiLvlStrCache>
                <c:ptCount val="11"/>
                <c:lvl/>
                <c:lvl>
                  <c:pt idx="0">
                    <c:v>Recursos Internos</c:v>
                  </c:pt>
                  <c:pt idx="1">
                    <c:v>Recursos Externos (Servicios Profesionales)</c:v>
                  </c:pt>
                  <c:pt idx="2">
                    <c:v>Hardware / Infraestructura</c:v>
                  </c:pt>
                  <c:pt idx="3">
                    <c:v>Software</c:v>
                  </c:pt>
                  <c:pt idx="4">
                    <c:v>Capacitación</c:v>
                  </c:pt>
                  <c:pt idx="5">
                    <c:v>Viáticos</c:v>
                  </c:pt>
                  <c:pt idx="6">
                    <c:v>Otros</c:v>
                  </c:pt>
                  <c:pt idx="7">
                    <c:v>Costos Recurrentes Anuales</c:v>
                  </c:pt>
                  <c:pt idx="8">
                    <c:v>Harware</c:v>
                  </c:pt>
                  <c:pt idx="9">
                    <c:v>Software</c:v>
                  </c:pt>
                  <c:pt idx="10">
                    <c:v>Totales</c:v>
                  </c:pt>
                </c:lvl>
              </c:multiLvlStrCache>
            </c:multiLvlStrRef>
          </c:cat>
          <c:val>
            <c:numRef>
              <c:f>Presupuesto!$S$118:$S$128</c:f>
              <c:numCache>
                <c:formatCode>0.0%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CB-4601-B137-260E5E924C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5077248"/>
        <c:axId val="135079040"/>
      </c:barChart>
      <c:catAx>
        <c:axId val="135077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35079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50790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35077248"/>
        <c:crosses val="autoZero"/>
        <c:crossBetween val="between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9813410586487046"/>
          <c:y val="1.0526333823899781E-2"/>
          <c:w val="0.18386393511378268"/>
          <c:h val="0.1210528389748474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1228725</xdr:colOff>
      <xdr:row>3</xdr:row>
      <xdr:rowOff>85725</xdr:rowOff>
    </xdr:to>
    <xdr:grpSp>
      <xdr:nvGrpSpPr>
        <xdr:cNvPr id="28675" name="Group 3">
          <a:extLst>
            <a:ext uri="{FF2B5EF4-FFF2-40B4-BE49-F238E27FC236}">
              <a16:creationId xmlns:a16="http://schemas.microsoft.com/office/drawing/2014/main" id="{00000000-0008-0000-0000-000003700000}"/>
            </a:ext>
          </a:extLst>
        </xdr:cNvPr>
        <xdr:cNvGrpSpPr>
          <a:grpSpLocks/>
        </xdr:cNvGrpSpPr>
      </xdr:nvGrpSpPr>
      <xdr:grpSpPr bwMode="auto">
        <a:xfrm>
          <a:off x="0" y="0"/>
          <a:ext cx="3200400" cy="542925"/>
          <a:chOff x="11" y="27"/>
          <a:chExt cx="327" cy="45"/>
        </a:xfrm>
      </xdr:grpSpPr>
      <xdr:sp macro="" textlink="">
        <xdr:nvSpPr>
          <xdr:cNvPr id="28676" name="AutoShape 4">
            <a:extLst>
              <a:ext uri="{FF2B5EF4-FFF2-40B4-BE49-F238E27FC236}">
                <a16:creationId xmlns:a16="http://schemas.microsoft.com/office/drawing/2014/main" id="{00000000-0008-0000-0000-000004700000}"/>
              </a:ext>
            </a:extLst>
          </xdr:cNvPr>
          <xdr:cNvSpPr>
            <a:spLocks noChangeArrowheads="1"/>
          </xdr:cNvSpPr>
        </xdr:nvSpPr>
        <xdr:spPr bwMode="auto">
          <a:xfrm>
            <a:off x="11" y="27"/>
            <a:ext cx="86" cy="45"/>
          </a:xfrm>
          <a:prstGeom prst="homePlate">
            <a:avLst>
              <a:gd name="adj" fmla="val 47778"/>
            </a:avLst>
          </a:prstGeom>
          <a:solidFill>
            <a:srgbClr xmlns:mc="http://schemas.openxmlformats.org/markup-compatibility/2006" xmlns:a14="http://schemas.microsoft.com/office/drawing/2010/main" val="FFFF00" mc:Ignorable="a14" a14:legacySpreadsheetColorIndex="13">
              <a:alpha val="25000"/>
            </a:srgbClr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25400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18288" tIns="22860" rIns="0" bIns="0" anchor="t"/>
          <a:lstStyle/>
          <a:p>
            <a:pPr algn="l" rtl="0">
              <a:defRPr sz="1000"/>
            </a:pPr>
            <a:endParaRPr lang="es-MX" sz="1000" b="1" i="0" u="none" strike="noStrike" baseline="0">
              <a:solidFill>
                <a:srgbClr val="00008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s-MX" sz="1000" b="1" i="0" u="none" strike="noStrike" baseline="0">
              <a:solidFill>
                <a:srgbClr val="00008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8677" name="AutoShape 5">
            <a:extLst>
              <a:ext uri="{FF2B5EF4-FFF2-40B4-BE49-F238E27FC236}">
                <a16:creationId xmlns:a16="http://schemas.microsoft.com/office/drawing/2014/main" id="{00000000-0008-0000-0000-000005700000}"/>
              </a:ext>
            </a:extLst>
          </xdr:cNvPr>
          <xdr:cNvSpPr>
            <a:spLocks noChangeArrowheads="1"/>
          </xdr:cNvSpPr>
        </xdr:nvSpPr>
        <xdr:spPr bwMode="auto">
          <a:xfrm>
            <a:off x="80" y="27"/>
            <a:ext cx="97" cy="45"/>
          </a:xfrm>
          <a:prstGeom prst="chevron">
            <a:avLst>
              <a:gd name="adj" fmla="val 53889"/>
            </a:avLst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25400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18288" tIns="22860" rIns="0" bIns="0" anchor="t"/>
          <a:lstStyle/>
          <a:p>
            <a:pPr algn="r" rtl="0">
              <a:defRPr sz="1000"/>
            </a:pPr>
            <a:endParaRPr lang="es-MX" sz="600" b="1" i="0" u="none" strike="noStrike" baseline="0">
              <a:solidFill>
                <a:srgbClr val="FFFFFF"/>
              </a:solidFill>
              <a:latin typeface="Arial"/>
              <a:cs typeface="Arial"/>
            </a:endParaRPr>
          </a:p>
          <a:p>
            <a:pPr algn="r" rtl="0">
              <a:defRPr sz="1000"/>
            </a:pPr>
            <a:endParaRPr lang="es-MX" sz="600" b="1" i="0" u="none" strike="noStrike" baseline="0">
              <a:solidFill>
                <a:srgbClr val="FFFFFF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8678" name="AutoShape 6">
            <a:extLst>
              <a:ext uri="{FF2B5EF4-FFF2-40B4-BE49-F238E27FC236}">
                <a16:creationId xmlns:a16="http://schemas.microsoft.com/office/drawing/2014/main" id="{00000000-0008-0000-0000-000006700000}"/>
              </a:ext>
            </a:extLst>
          </xdr:cNvPr>
          <xdr:cNvSpPr>
            <a:spLocks noChangeArrowheads="1"/>
          </xdr:cNvSpPr>
        </xdr:nvSpPr>
        <xdr:spPr bwMode="auto">
          <a:xfrm>
            <a:off x="157" y="27"/>
            <a:ext cx="101" cy="45"/>
          </a:xfrm>
          <a:prstGeom prst="chevron">
            <a:avLst>
              <a:gd name="adj" fmla="val 56111"/>
            </a:avLst>
          </a:prstGeom>
          <a:solidFill>
            <a:srgbClr xmlns:mc="http://schemas.openxmlformats.org/markup-compatibility/2006" xmlns:a14="http://schemas.microsoft.com/office/drawing/2010/main" val="00FF00" mc:Ignorable="a14" a14:legacySpreadsheetColorIndex="11">
              <a:alpha val="25000"/>
            </a:srgbClr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25400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8679" name="AutoShape 7">
            <a:extLst>
              <a:ext uri="{FF2B5EF4-FFF2-40B4-BE49-F238E27FC236}">
                <a16:creationId xmlns:a16="http://schemas.microsoft.com/office/drawing/2014/main" id="{00000000-0008-0000-0000-000007700000}"/>
              </a:ext>
            </a:extLst>
          </xdr:cNvPr>
          <xdr:cNvSpPr>
            <a:spLocks noChangeArrowheads="1"/>
          </xdr:cNvSpPr>
        </xdr:nvSpPr>
        <xdr:spPr bwMode="auto">
          <a:xfrm>
            <a:off x="237" y="27"/>
            <a:ext cx="101" cy="45"/>
          </a:xfrm>
          <a:prstGeom prst="chevron">
            <a:avLst>
              <a:gd name="adj" fmla="val 56111"/>
            </a:avLst>
          </a:prstGeom>
          <a:solidFill>
            <a:srgbClr xmlns:mc="http://schemas.openxmlformats.org/markup-compatibility/2006" xmlns:a14="http://schemas.microsoft.com/office/drawing/2010/main" val="00CCFF" mc:Ignorable="a14" a14:legacySpreadsheetColorIndex="40">
              <a:alpha val="25000"/>
            </a:srgbClr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25400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18288" tIns="22860" rIns="0" bIns="0" anchor="t"/>
          <a:lstStyle/>
          <a:p>
            <a:pPr algn="ctr" rtl="0">
              <a:defRPr sz="1000"/>
            </a:pPr>
            <a:endParaRPr lang="es-MX" sz="6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endParaRPr lang="es-MX" sz="6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5</xdr:col>
      <xdr:colOff>0</xdr:colOff>
      <xdr:row>79</xdr:row>
      <xdr:rowOff>47625</xdr:rowOff>
    </xdr:from>
    <xdr:to>
      <xdr:col>19</xdr:col>
      <xdr:colOff>28575</xdr:colOff>
      <xdr:row>111</xdr:row>
      <xdr:rowOff>114300</xdr:rowOff>
    </xdr:to>
    <xdr:graphicFrame macro="">
      <xdr:nvGraphicFramePr>
        <xdr:cNvPr id="28725" name="Gráfico 53">
          <a:extLst>
            <a:ext uri="{FF2B5EF4-FFF2-40B4-BE49-F238E27FC236}">
              <a16:creationId xmlns:a16="http://schemas.microsoft.com/office/drawing/2014/main" id="{00000000-0008-0000-0000-0000357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114300</xdr:colOff>
      <xdr:row>130</xdr:row>
      <xdr:rowOff>19050</xdr:rowOff>
    </xdr:from>
    <xdr:to>
      <xdr:col>18</xdr:col>
      <xdr:colOff>828675</xdr:colOff>
      <xdr:row>158</xdr:row>
      <xdr:rowOff>19050</xdr:rowOff>
    </xdr:to>
    <xdr:graphicFrame macro="">
      <xdr:nvGraphicFramePr>
        <xdr:cNvPr id="16" name="Gráfico 8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dvisicon.sharepointspace.com/scotiaba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0">
    <tabColor indexed="18"/>
  </sheetPr>
  <dimension ref="A1:AK166"/>
  <sheetViews>
    <sheetView showGridLines="0" showRowColHeaders="0" tabSelected="1" topLeftCell="A113" zoomScale="90" zoomScaleNormal="90" workbookViewId="0">
      <selection activeCell="F124" sqref="F124:G124"/>
    </sheetView>
  </sheetViews>
  <sheetFormatPr defaultColWidth="0" defaultRowHeight="12.4" zeroHeight="1" outlineLevelRow="1"/>
  <cols>
    <col min="1" max="1" width="9.140625" style="5" customWidth="1"/>
    <col min="2" max="2" width="6.42578125" style="5" customWidth="1"/>
    <col min="3" max="3" width="6.5703125" style="5" customWidth="1"/>
    <col min="4" max="4" width="7.42578125" style="5" bestFit="1" customWidth="1"/>
    <col min="5" max="5" width="43.85546875" style="5" customWidth="1"/>
    <col min="6" max="6" width="46" style="5" customWidth="1"/>
    <col min="7" max="7" width="18.7109375" style="5" customWidth="1"/>
    <col min="8" max="26" width="16.5703125" style="5" customWidth="1"/>
    <col min="27" max="27" width="4.140625" style="5" bestFit="1" customWidth="1"/>
    <col min="28" max="33" width="4.140625" style="5" hidden="1" customWidth="1"/>
    <col min="34" max="37" width="11.42578125" style="5" hidden="1" customWidth="1"/>
    <col min="38" max="16384" width="11.42578125" style="5" hidden="1"/>
  </cols>
  <sheetData>
    <row r="1" spans="1:37">
      <c r="AK1" s="5" t="s">
        <v>0</v>
      </c>
    </row>
    <row r="2" spans="1:37">
      <c r="AK2" s="5" t="s">
        <v>1</v>
      </c>
    </row>
    <row r="3" spans="1:37">
      <c r="AK3" s="5" t="s">
        <v>2</v>
      </c>
    </row>
    <row r="4" spans="1:37">
      <c r="AK4" s="5" t="s">
        <v>3</v>
      </c>
    </row>
    <row r="5" spans="1:37">
      <c r="AK5" s="5" t="s">
        <v>4</v>
      </c>
    </row>
    <row r="6" spans="1:37" ht="22.7">
      <c r="A6" s="92" t="s">
        <v>5</v>
      </c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</row>
    <row r="7" spans="1:37"/>
    <row r="8" spans="1:37" s="47" customFormat="1" ht="14.65" thickBot="1">
      <c r="A8" s="48" t="s">
        <v>6</v>
      </c>
      <c r="B8" s="46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</row>
    <row r="9" spans="1:37">
      <c r="A9" s="7"/>
      <c r="B9" s="1" t="str">
        <f>IF($H9=0,"",IF(OR($H9&lt;9,$H9&gt;16),"",1))</f>
        <v/>
      </c>
      <c r="C9" s="1"/>
      <c r="D9" s="1" t="str">
        <f>IF($H9=0,"",IF(OR($H9&lt;9,$H9&gt;16),"",1))</f>
        <v/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</row>
    <row r="10" spans="1:37">
      <c r="A10" s="60"/>
      <c r="B10" s="60"/>
      <c r="C10" s="60"/>
      <c r="D10" s="60"/>
      <c r="E10" s="11"/>
      <c r="F10" s="60"/>
      <c r="G10" s="8"/>
      <c r="H10" s="8"/>
      <c r="I10" s="94"/>
      <c r="J10" s="94"/>
      <c r="K10" s="94"/>
      <c r="L10" s="94"/>
      <c r="M10" s="94"/>
      <c r="N10" s="94"/>
      <c r="O10" s="94"/>
      <c r="P10" s="18"/>
      <c r="Q10" s="1"/>
      <c r="R10" s="2"/>
      <c r="S10" s="11"/>
      <c r="T10" s="1" t="str">
        <f t="shared" ref="T10:AI10" si="0">IF($F10=0,"",IF(OR($F10&lt;9,$F10&gt;16),"",1))</f>
        <v/>
      </c>
      <c r="U10" s="1" t="str">
        <f t="shared" si="0"/>
        <v/>
      </c>
      <c r="V10" s="1" t="str">
        <f t="shared" si="0"/>
        <v/>
      </c>
      <c r="W10" s="1" t="str">
        <f t="shared" si="0"/>
        <v/>
      </c>
      <c r="X10" s="1" t="str">
        <f t="shared" si="0"/>
        <v/>
      </c>
      <c r="Y10" s="1" t="str">
        <f t="shared" si="0"/>
        <v/>
      </c>
      <c r="Z10" s="1" t="str">
        <f t="shared" si="0"/>
        <v/>
      </c>
      <c r="AA10" s="1" t="str">
        <f t="shared" si="0"/>
        <v/>
      </c>
      <c r="AB10" s="1" t="str">
        <f t="shared" si="0"/>
        <v/>
      </c>
      <c r="AC10" s="1" t="str">
        <f t="shared" si="0"/>
        <v/>
      </c>
      <c r="AD10" s="1" t="str">
        <f t="shared" si="0"/>
        <v/>
      </c>
      <c r="AE10" s="1" t="str">
        <f t="shared" si="0"/>
        <v/>
      </c>
      <c r="AF10" s="1" t="str">
        <f t="shared" si="0"/>
        <v/>
      </c>
      <c r="AG10" s="1" t="str">
        <f t="shared" si="0"/>
        <v/>
      </c>
      <c r="AH10" s="1" t="str">
        <f t="shared" si="0"/>
        <v/>
      </c>
      <c r="AI10" s="1" t="str">
        <f t="shared" si="0"/>
        <v/>
      </c>
    </row>
    <row r="11" spans="1:37">
      <c r="A11" s="94" t="s">
        <v>7</v>
      </c>
      <c r="B11" s="94"/>
      <c r="C11" s="94"/>
      <c r="D11" s="94"/>
      <c r="E11" s="93" t="s">
        <v>8</v>
      </c>
      <c r="F11" s="93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/>
      <c r="T11" s="3"/>
      <c r="U11" s="1" t="str">
        <f t="shared" ref="U11:AI12" si="1">IF($E11=0,"",IF(OR($E11&lt;9,$E11&gt;16),"",1))</f>
        <v/>
      </c>
      <c r="V11" s="1" t="str">
        <f t="shared" si="1"/>
        <v/>
      </c>
      <c r="W11" s="1" t="str">
        <f t="shared" si="1"/>
        <v/>
      </c>
      <c r="X11" s="1" t="str">
        <f t="shared" si="1"/>
        <v/>
      </c>
      <c r="Y11" s="1" t="str">
        <f t="shared" si="1"/>
        <v/>
      </c>
      <c r="Z11" s="1" t="str">
        <f t="shared" si="1"/>
        <v/>
      </c>
      <c r="AA11" s="1" t="str">
        <f t="shared" si="1"/>
        <v/>
      </c>
      <c r="AB11" s="1" t="str">
        <f t="shared" si="1"/>
        <v/>
      </c>
      <c r="AC11" s="1" t="str">
        <f t="shared" si="1"/>
        <v/>
      </c>
      <c r="AD11" s="1" t="str">
        <f t="shared" si="1"/>
        <v/>
      </c>
      <c r="AE11" s="1" t="str">
        <f t="shared" si="1"/>
        <v/>
      </c>
      <c r="AF11" s="1" t="str">
        <f t="shared" si="1"/>
        <v/>
      </c>
      <c r="AG11" s="1" t="str">
        <f t="shared" si="1"/>
        <v/>
      </c>
      <c r="AH11" s="1" t="str">
        <f t="shared" si="1"/>
        <v/>
      </c>
      <c r="AI11" s="1" t="str">
        <f t="shared" si="1"/>
        <v/>
      </c>
    </row>
    <row r="12" spans="1:37">
      <c r="A12" s="94" t="s">
        <v>9</v>
      </c>
      <c r="B12" s="94"/>
      <c r="C12" s="94"/>
      <c r="D12" s="94"/>
      <c r="E12" s="91" t="s">
        <v>10</v>
      </c>
      <c r="F12" s="91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2"/>
      <c r="T12" s="2"/>
      <c r="U12" s="1" t="str">
        <f t="shared" si="1"/>
        <v/>
      </c>
      <c r="V12" s="1" t="str">
        <f t="shared" si="1"/>
        <v/>
      </c>
      <c r="W12" s="1" t="str">
        <f t="shared" si="1"/>
        <v/>
      </c>
      <c r="X12" s="1" t="str">
        <f t="shared" si="1"/>
        <v/>
      </c>
      <c r="Y12" s="1" t="str">
        <f t="shared" si="1"/>
        <v/>
      </c>
      <c r="Z12" s="1" t="str">
        <f t="shared" si="1"/>
        <v/>
      </c>
      <c r="AA12" s="1" t="str">
        <f t="shared" si="1"/>
        <v/>
      </c>
      <c r="AB12" s="1" t="str">
        <f t="shared" si="1"/>
        <v/>
      </c>
      <c r="AC12" s="1" t="str">
        <f t="shared" si="1"/>
        <v/>
      </c>
      <c r="AD12" s="1" t="str">
        <f t="shared" si="1"/>
        <v/>
      </c>
      <c r="AE12" s="1" t="str">
        <f t="shared" si="1"/>
        <v/>
      </c>
      <c r="AF12" s="1" t="str">
        <f t="shared" si="1"/>
        <v/>
      </c>
      <c r="AG12" s="1" t="str">
        <f t="shared" si="1"/>
        <v/>
      </c>
      <c r="AH12" s="1" t="str">
        <f t="shared" si="1"/>
        <v/>
      </c>
      <c r="AI12" s="1" t="str">
        <f t="shared" si="1"/>
        <v/>
      </c>
    </row>
    <row r="13" spans="1:37">
      <c r="A13" s="94" t="s">
        <v>11</v>
      </c>
      <c r="B13" s="94"/>
      <c r="C13" s="94"/>
      <c r="D13" s="94"/>
      <c r="E13" s="91" t="s">
        <v>12</v>
      </c>
      <c r="F13" s="91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2"/>
      <c r="T13" s="3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</row>
    <row r="14" spans="1:37">
      <c r="A14" s="94" t="s">
        <v>13</v>
      </c>
      <c r="B14" s="94"/>
      <c r="C14" s="94"/>
      <c r="D14" s="94"/>
      <c r="E14" s="91" t="s">
        <v>14</v>
      </c>
      <c r="F14" s="91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2"/>
      <c r="T14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</row>
    <row r="15" spans="1:37">
      <c r="A15" s="63"/>
      <c r="B15" s="63"/>
      <c r="C15" s="63"/>
      <c r="D15" s="63"/>
      <c r="E15" s="7"/>
      <c r="F15" s="2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2"/>
      <c r="T15" s="2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</row>
    <row r="16" spans="1:37">
      <c r="A16" s="63"/>
      <c r="B16" s="68" t="s">
        <v>15</v>
      </c>
      <c r="C16" s="68"/>
      <c r="D16" s="68"/>
      <c r="E16" s="14" t="s">
        <v>16</v>
      </c>
      <c r="F16" s="2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2"/>
      <c r="T16" s="2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</row>
    <row r="17" spans="1:35">
      <c r="A17" s="7"/>
      <c r="B17" s="1"/>
      <c r="C17" s="1"/>
      <c r="D17" s="10"/>
      <c r="E17" s="11"/>
      <c r="F17" s="11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</row>
    <row r="18" spans="1:35" ht="16.5" customHeight="1">
      <c r="A18" s="10"/>
      <c r="B18" s="10"/>
      <c r="C18" s="10"/>
      <c r="D18" s="60" t="s">
        <v>17</v>
      </c>
      <c r="E18" s="16">
        <v>46062</v>
      </c>
      <c r="G18" s="11"/>
      <c r="J18" s="9"/>
      <c r="K18" s="9"/>
      <c r="L18" s="9"/>
      <c r="M18" s="9"/>
      <c r="N18" s="33"/>
      <c r="O18" s="33"/>
      <c r="P18" s="33"/>
      <c r="Q18" s="33"/>
      <c r="R18" s="33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</row>
    <row r="19" spans="1:35" ht="16.5" customHeight="1">
      <c r="A19" s="2"/>
      <c r="B19" s="2"/>
      <c r="C19" s="2"/>
      <c r="D19" s="60" t="s">
        <v>18</v>
      </c>
      <c r="E19" s="17">
        <v>46222</v>
      </c>
      <c r="F19" s="11"/>
      <c r="G19" s="11"/>
      <c r="J19" s="9"/>
      <c r="K19" s="9"/>
      <c r="L19" s="9"/>
      <c r="M19" s="9"/>
      <c r="N19" s="33"/>
      <c r="O19" s="33"/>
      <c r="P19" s="33"/>
      <c r="Q19" s="33"/>
      <c r="R19" s="33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</row>
    <row r="20" spans="1:35" ht="16.5" customHeight="1">
      <c r="A20" s="34"/>
      <c r="B20" s="34"/>
      <c r="C20" s="34"/>
      <c r="D20" s="127"/>
      <c r="E20" s="127"/>
      <c r="F20" s="127"/>
      <c r="G20" s="11"/>
      <c r="H20" s="11"/>
      <c r="I20" s="1"/>
      <c r="J20" s="9"/>
      <c r="K20" s="9"/>
      <c r="L20" s="9"/>
      <c r="M20" s="9"/>
      <c r="N20" s="33"/>
      <c r="O20" s="33"/>
      <c r="P20" s="33"/>
      <c r="Q20" s="33"/>
      <c r="R20" s="33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</row>
    <row r="21" spans="1:35" ht="14.65" thickBot="1">
      <c r="A21" s="48" t="s">
        <v>19</v>
      </c>
      <c r="B21" s="1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</row>
    <row r="22" spans="1:35"/>
    <row r="23" spans="1:35"/>
    <row r="24" spans="1:35">
      <c r="G24" s="117" t="s">
        <v>20</v>
      </c>
      <c r="H24" s="117"/>
      <c r="I24" s="109" t="s">
        <v>21</v>
      </c>
      <c r="J24" s="110"/>
      <c r="K24" s="69" t="s">
        <v>22</v>
      </c>
      <c r="L24" s="70"/>
      <c r="M24" s="113" t="s">
        <v>23</v>
      </c>
      <c r="N24" s="114"/>
      <c r="O24" s="71" t="s">
        <v>24</v>
      </c>
      <c r="P24" s="71"/>
      <c r="Q24" s="72" t="s">
        <v>25</v>
      </c>
      <c r="R24" s="72"/>
    </row>
    <row r="25" spans="1:35" ht="33.75" customHeight="1">
      <c r="G25" s="61" t="s">
        <v>26</v>
      </c>
      <c r="H25" s="61" t="s">
        <v>27</v>
      </c>
      <c r="I25" s="111"/>
      <c r="J25" s="112"/>
      <c r="K25" s="64" t="s">
        <v>26</v>
      </c>
      <c r="L25" s="65" t="s">
        <v>27</v>
      </c>
      <c r="M25" s="115"/>
      <c r="N25" s="116"/>
      <c r="O25" s="71"/>
      <c r="P25" s="71"/>
      <c r="Q25" s="72"/>
      <c r="R25" s="72"/>
    </row>
    <row r="26" spans="1:35">
      <c r="C26" s="102" t="s">
        <v>28</v>
      </c>
      <c r="D26" s="102"/>
      <c r="E26" s="102"/>
      <c r="F26" s="102"/>
      <c r="G26" s="38">
        <v>5</v>
      </c>
      <c r="H26" s="41">
        <f>G26/8</f>
        <v>0.625</v>
      </c>
      <c r="I26" s="86">
        <v>1166</v>
      </c>
      <c r="J26" s="87"/>
      <c r="K26" s="38">
        <v>0</v>
      </c>
      <c r="L26" s="42">
        <f t="shared" ref="L26:L33" si="2">K26/8</f>
        <v>0</v>
      </c>
      <c r="M26" s="73">
        <v>0</v>
      </c>
      <c r="N26" s="74"/>
      <c r="O26" s="106"/>
      <c r="P26" s="106"/>
      <c r="Q26" s="126"/>
      <c r="R26" s="126"/>
    </row>
    <row r="27" spans="1:35">
      <c r="C27" s="102" t="s">
        <v>29</v>
      </c>
      <c r="D27" s="102"/>
      <c r="E27" s="102"/>
      <c r="F27" s="102"/>
      <c r="G27" s="39">
        <v>5</v>
      </c>
      <c r="H27" s="42">
        <f t="shared" ref="H27:H33" si="3">G27/8</f>
        <v>0.625</v>
      </c>
      <c r="I27" s="86">
        <v>933</v>
      </c>
      <c r="J27" s="87"/>
      <c r="K27" s="38">
        <v>0</v>
      </c>
      <c r="L27" s="42">
        <f t="shared" si="2"/>
        <v>0</v>
      </c>
      <c r="M27" s="73">
        <v>0</v>
      </c>
      <c r="N27" s="74"/>
      <c r="O27" s="106">
        <v>0</v>
      </c>
      <c r="P27" s="106"/>
      <c r="Q27" s="126"/>
      <c r="R27" s="126"/>
    </row>
    <row r="28" spans="1:35" ht="12.4" customHeight="1">
      <c r="C28" s="102" t="s">
        <v>30</v>
      </c>
      <c r="D28" s="102"/>
      <c r="E28" s="102"/>
      <c r="F28" s="102"/>
      <c r="G28" s="39">
        <v>5</v>
      </c>
      <c r="H28" s="41">
        <f>G28/8</f>
        <v>0.625</v>
      </c>
      <c r="I28" s="133">
        <v>933</v>
      </c>
      <c r="J28" s="134"/>
      <c r="K28" s="38">
        <v>0</v>
      </c>
      <c r="L28" s="42">
        <f t="shared" si="2"/>
        <v>0</v>
      </c>
      <c r="M28" s="73">
        <v>0</v>
      </c>
      <c r="N28" s="74"/>
      <c r="O28" s="106">
        <v>0</v>
      </c>
      <c r="P28" s="106"/>
      <c r="Q28" s="126"/>
      <c r="R28" s="126"/>
    </row>
    <row r="29" spans="1:35">
      <c r="C29" s="102"/>
      <c r="D29" s="102"/>
      <c r="E29" s="102"/>
      <c r="F29" s="102"/>
      <c r="G29" s="39">
        <v>0</v>
      </c>
      <c r="H29" s="42">
        <f>G29/8</f>
        <v>0</v>
      </c>
      <c r="I29" s="86">
        <f t="shared" ref="I27:I32" si="4">G29*0</f>
        <v>0</v>
      </c>
      <c r="J29" s="87"/>
      <c r="K29" s="38">
        <v>0</v>
      </c>
      <c r="L29" s="42">
        <f t="shared" si="2"/>
        <v>0</v>
      </c>
      <c r="M29" s="73">
        <v>0</v>
      </c>
      <c r="N29" s="74"/>
      <c r="O29" s="106">
        <v>0</v>
      </c>
      <c r="P29" s="106"/>
      <c r="Q29" s="126"/>
      <c r="R29" s="126"/>
    </row>
    <row r="30" spans="1:35">
      <c r="C30" s="102"/>
      <c r="D30" s="102"/>
      <c r="E30" s="102"/>
      <c r="F30" s="102"/>
      <c r="G30" s="39">
        <v>0</v>
      </c>
      <c r="H30" s="42">
        <f t="shared" si="3"/>
        <v>0</v>
      </c>
      <c r="I30" s="86">
        <f t="shared" si="4"/>
        <v>0</v>
      </c>
      <c r="J30" s="87"/>
      <c r="K30" s="38">
        <v>0</v>
      </c>
      <c r="L30" s="42">
        <f t="shared" si="2"/>
        <v>0</v>
      </c>
      <c r="M30" s="73">
        <v>0</v>
      </c>
      <c r="N30" s="74"/>
      <c r="O30" s="106">
        <v>0</v>
      </c>
      <c r="P30" s="106"/>
      <c r="Q30" s="126"/>
      <c r="R30" s="126"/>
    </row>
    <row r="31" spans="1:35">
      <c r="C31" s="102"/>
      <c r="D31" s="102"/>
      <c r="E31" s="102"/>
      <c r="F31" s="102"/>
      <c r="G31" s="39">
        <v>0</v>
      </c>
      <c r="H31" s="42">
        <f t="shared" si="3"/>
        <v>0</v>
      </c>
      <c r="I31" s="86">
        <f t="shared" si="4"/>
        <v>0</v>
      </c>
      <c r="J31" s="87"/>
      <c r="K31" s="38">
        <v>0</v>
      </c>
      <c r="L31" s="42">
        <f t="shared" si="2"/>
        <v>0</v>
      </c>
      <c r="M31" s="73">
        <v>0</v>
      </c>
      <c r="N31" s="74"/>
      <c r="O31" s="106">
        <v>0</v>
      </c>
      <c r="P31" s="106"/>
      <c r="Q31" s="126"/>
      <c r="R31" s="126"/>
    </row>
    <row r="32" spans="1:35">
      <c r="C32" s="102"/>
      <c r="D32" s="102"/>
      <c r="E32" s="102"/>
      <c r="F32" s="102"/>
      <c r="G32" s="39">
        <v>0</v>
      </c>
      <c r="H32" s="42">
        <f t="shared" si="3"/>
        <v>0</v>
      </c>
      <c r="I32" s="86">
        <f t="shared" si="4"/>
        <v>0</v>
      </c>
      <c r="J32" s="87"/>
      <c r="K32" s="38">
        <v>0</v>
      </c>
      <c r="L32" s="42">
        <f t="shared" si="2"/>
        <v>0</v>
      </c>
      <c r="M32" s="73">
        <v>0</v>
      </c>
      <c r="N32" s="74"/>
      <c r="O32" s="106">
        <v>0</v>
      </c>
      <c r="P32" s="106"/>
      <c r="Q32" s="126"/>
      <c r="R32" s="126"/>
    </row>
    <row r="33" spans="1:35" ht="12.95" thickBot="1">
      <c r="C33" s="85"/>
      <c r="D33" s="85"/>
      <c r="E33" s="85"/>
      <c r="F33" s="85"/>
      <c r="G33" s="40">
        <v>0</v>
      </c>
      <c r="H33" s="43">
        <f t="shared" si="3"/>
        <v>0</v>
      </c>
      <c r="I33" s="86">
        <f>G33*0</f>
        <v>0</v>
      </c>
      <c r="J33" s="87"/>
      <c r="K33" s="40">
        <v>0</v>
      </c>
      <c r="L33" s="43">
        <f t="shared" si="2"/>
        <v>0</v>
      </c>
      <c r="M33" s="73">
        <v>0</v>
      </c>
      <c r="N33" s="74"/>
      <c r="O33" s="106">
        <v>0</v>
      </c>
      <c r="P33" s="106"/>
      <c r="Q33" s="62"/>
      <c r="R33" s="62"/>
    </row>
    <row r="34" spans="1:35" ht="15" thickTop="1" thickBot="1">
      <c r="C34" s="80" t="s">
        <v>31</v>
      </c>
      <c r="D34" s="80"/>
      <c r="E34" s="80"/>
      <c r="F34" s="80"/>
      <c r="G34" s="20">
        <f>SUM(G26:G33)</f>
        <v>15</v>
      </c>
      <c r="H34" s="20">
        <f>SUM(H26:H33)</f>
        <v>1.875</v>
      </c>
      <c r="I34" s="77">
        <f>SUM(I26:J33)</f>
        <v>3032</v>
      </c>
      <c r="J34" s="78"/>
      <c r="K34" s="20">
        <f>SUM(K26:K33)</f>
        <v>0</v>
      </c>
      <c r="L34" s="20">
        <f>SUM(L26:L33)</f>
        <v>0</v>
      </c>
      <c r="M34" s="77">
        <f>SUM(M26:N33)</f>
        <v>0</v>
      </c>
      <c r="N34" s="78"/>
      <c r="O34" s="77">
        <f>SUM(O26:P33)</f>
        <v>0</v>
      </c>
      <c r="P34" s="78"/>
      <c r="Q34" s="121">
        <f>I34+M34+O34</f>
        <v>3032</v>
      </c>
      <c r="R34" s="122"/>
    </row>
    <row r="35" spans="1:35" ht="12.95" thickTop="1"/>
    <row r="36" spans="1:35">
      <c r="J36" s="135"/>
    </row>
    <row r="37" spans="1:35" ht="14.65" thickBot="1">
      <c r="A37" s="49" t="s">
        <v>32</v>
      </c>
      <c r="B37" s="1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</row>
    <row r="38" spans="1:35"/>
    <row r="39" spans="1:35"/>
    <row r="40" spans="1:35">
      <c r="G40" s="71" t="s">
        <v>33</v>
      </c>
      <c r="H40" s="71"/>
      <c r="I40" s="82" t="s">
        <v>34</v>
      </c>
      <c r="J40" s="82"/>
    </row>
    <row r="41" spans="1:35" ht="28.5" customHeight="1">
      <c r="G41" s="81"/>
      <c r="H41" s="81"/>
      <c r="I41" s="83"/>
      <c r="J41" s="83"/>
    </row>
    <row r="42" spans="1:35" outlineLevel="1">
      <c r="F42" s="44" t="s">
        <v>35</v>
      </c>
      <c r="G42" s="75">
        <v>73476.55</v>
      </c>
      <c r="H42" s="75"/>
      <c r="I42" s="75">
        <v>0</v>
      </c>
      <c r="J42" s="75"/>
    </row>
    <row r="43" spans="1:35" ht="12.75" customHeight="1" outlineLevel="1">
      <c r="F43" s="21" t="s">
        <v>36</v>
      </c>
      <c r="G43" s="76">
        <f>2500+280+180</f>
        <v>2960</v>
      </c>
      <c r="H43" s="76"/>
      <c r="I43" s="129">
        <f>G43*12</f>
        <v>35520</v>
      </c>
      <c r="J43" s="129"/>
    </row>
    <row r="44" spans="1:35" ht="13.35" thickTop="1" thickBot="1">
      <c r="F44" s="22" t="s">
        <v>31</v>
      </c>
      <c r="G44" s="79">
        <f>G42+G43</f>
        <v>76436.55</v>
      </c>
      <c r="H44" s="79"/>
      <c r="I44" s="79">
        <f>I42+I43</f>
        <v>35520</v>
      </c>
      <c r="J44" s="79"/>
    </row>
    <row r="45" spans="1:35" ht="12.95" thickTop="1"/>
    <row r="46" spans="1:35"/>
    <row r="47" spans="1:35"/>
    <row r="48" spans="1:35"/>
    <row r="49" spans="1:35" ht="15.95" thickBot="1">
      <c r="A49" s="50" t="s">
        <v>37</v>
      </c>
      <c r="B49" s="1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</row>
    <row r="50" spans="1:35"/>
    <row r="51" spans="1:35"/>
    <row r="52" spans="1:35" ht="12.75" customHeight="1">
      <c r="G52" s="71" t="s">
        <v>33</v>
      </c>
      <c r="H52" s="71"/>
    </row>
    <row r="53" spans="1:35" ht="26.25" customHeight="1">
      <c r="G53" s="81"/>
      <c r="H53" s="81"/>
    </row>
    <row r="54" spans="1:35" outlineLevel="1">
      <c r="F54" s="12" t="s">
        <v>38</v>
      </c>
      <c r="G54" s="75">
        <v>0</v>
      </c>
      <c r="H54" s="75"/>
    </row>
    <row r="55" spans="1:35" outlineLevel="1">
      <c r="F55" s="13" t="s">
        <v>39</v>
      </c>
      <c r="G55" s="75">
        <v>700</v>
      </c>
      <c r="H55" s="75"/>
    </row>
    <row r="56" spans="1:35" ht="12.95" outlineLevel="1" thickBot="1">
      <c r="F56" s="21" t="s">
        <v>40</v>
      </c>
      <c r="G56" s="76">
        <v>2000</v>
      </c>
      <c r="H56" s="76"/>
    </row>
    <row r="57" spans="1:35" ht="13.35" thickTop="1" thickBot="1">
      <c r="F57" s="23" t="s">
        <v>31</v>
      </c>
      <c r="G57" s="84">
        <f>SUM(G54:H56)</f>
        <v>2700</v>
      </c>
      <c r="H57" s="84"/>
    </row>
    <row r="58" spans="1:35" ht="12.95" thickTop="1"/>
    <row r="59" spans="1:35"/>
    <row r="60" spans="1:35"/>
    <row r="61" spans="1:35" ht="15.95" thickBot="1">
      <c r="A61" s="51" t="s">
        <v>41</v>
      </c>
      <c r="B61" s="15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</row>
    <row r="62" spans="1:35"/>
    <row r="63" spans="1:35"/>
    <row r="64" spans="1:35"/>
    <row r="65" spans="6:26"/>
    <row r="66" spans="6:26">
      <c r="G66" s="123" t="s">
        <v>42</v>
      </c>
      <c r="H66" s="123"/>
      <c r="I66" s="123"/>
      <c r="J66" s="123"/>
      <c r="K66" s="124" t="s">
        <v>43</v>
      </c>
      <c r="L66" s="124"/>
      <c r="M66" s="124"/>
      <c r="N66" s="124"/>
      <c r="O66" s="125" t="s">
        <v>44</v>
      </c>
      <c r="P66" s="125"/>
      <c r="Q66" s="125"/>
      <c r="R66" s="125"/>
      <c r="S66" s="128" t="s">
        <v>45</v>
      </c>
      <c r="T66" s="128"/>
      <c r="U66" s="128"/>
      <c r="V66" s="128"/>
      <c r="W66" s="120" t="s">
        <v>46</v>
      </c>
      <c r="X66" s="120"/>
      <c r="Y66" s="120"/>
      <c r="Z66" s="120"/>
    </row>
    <row r="67" spans="6:26">
      <c r="G67" s="30" t="s">
        <v>47</v>
      </c>
      <c r="H67" s="31" t="s">
        <v>48</v>
      </c>
      <c r="I67" s="24" t="s">
        <v>49</v>
      </c>
      <c r="J67" s="32" t="s">
        <v>50</v>
      </c>
      <c r="K67" s="30" t="s">
        <v>47</v>
      </c>
      <c r="L67" s="31" t="s">
        <v>48</v>
      </c>
      <c r="M67" s="24" t="s">
        <v>49</v>
      </c>
      <c r="N67" s="32" t="s">
        <v>50</v>
      </c>
      <c r="O67" s="30" t="s">
        <v>47</v>
      </c>
      <c r="P67" s="31" t="s">
        <v>48</v>
      </c>
      <c r="Q67" s="24" t="s">
        <v>49</v>
      </c>
      <c r="R67" s="32" t="s">
        <v>50</v>
      </c>
      <c r="S67" s="30" t="s">
        <v>47</v>
      </c>
      <c r="T67" s="31" t="s">
        <v>48</v>
      </c>
      <c r="U67" s="24" t="s">
        <v>49</v>
      </c>
      <c r="V67" s="32" t="s">
        <v>50</v>
      </c>
      <c r="W67" s="30" t="s">
        <v>47</v>
      </c>
      <c r="X67" s="31" t="s">
        <v>48</v>
      </c>
      <c r="Y67" s="24" t="s">
        <v>49</v>
      </c>
      <c r="Z67" s="32" t="s">
        <v>50</v>
      </c>
    </row>
    <row r="68" spans="6:26">
      <c r="F68" s="13" t="s">
        <v>51</v>
      </c>
      <c r="G68" s="28">
        <v>0</v>
      </c>
      <c r="H68" s="28">
        <v>0</v>
      </c>
      <c r="I68" s="28">
        <v>0</v>
      </c>
      <c r="J68" s="28">
        <v>0</v>
      </c>
      <c r="K68" s="28">
        <f>G68*1.15</f>
        <v>0</v>
      </c>
      <c r="L68" s="28">
        <f>H68*1.15</f>
        <v>0</v>
      </c>
      <c r="M68" s="28">
        <f>I68*1.15</f>
        <v>0</v>
      </c>
      <c r="N68" s="28">
        <f>J68*1.15</f>
        <v>0</v>
      </c>
      <c r="O68" s="28">
        <f>K68*1.1</f>
        <v>0</v>
      </c>
      <c r="P68" s="28">
        <f>L68*1.1</f>
        <v>0</v>
      </c>
      <c r="Q68" s="28">
        <f>M68*1.1</f>
        <v>0</v>
      </c>
      <c r="R68" s="28">
        <f>N68*1.1</f>
        <v>0</v>
      </c>
      <c r="S68" s="28">
        <f>O68*1.15</f>
        <v>0</v>
      </c>
      <c r="T68" s="28">
        <f>P68*1.15</f>
        <v>0</v>
      </c>
      <c r="U68" s="28">
        <f>Q68*1.15</f>
        <v>0</v>
      </c>
      <c r="V68" s="28">
        <f>R68*1.15</f>
        <v>0</v>
      </c>
      <c r="W68" s="28">
        <f>S68*1.1</f>
        <v>0</v>
      </c>
      <c r="X68" s="28">
        <f>T68*1.1</f>
        <v>0</v>
      </c>
      <c r="Y68" s="28">
        <f>U68*1.1</f>
        <v>0</v>
      </c>
      <c r="Z68" s="28">
        <f>V68*1.1</f>
        <v>0</v>
      </c>
    </row>
    <row r="69" spans="6:26" ht="12.75">
      <c r="F69" s="13" t="s">
        <v>52</v>
      </c>
      <c r="G69" s="28">
        <v>758</v>
      </c>
      <c r="H69" s="28">
        <v>758</v>
      </c>
      <c r="I69" s="28">
        <v>758</v>
      </c>
      <c r="J69" s="28">
        <v>758</v>
      </c>
      <c r="K69" s="28">
        <f>G69*1.15</f>
        <v>871.69999999999993</v>
      </c>
      <c r="L69" s="28">
        <f t="shared" ref="L69:N69" si="5">H69*1.15</f>
        <v>871.69999999999993</v>
      </c>
      <c r="M69" s="28">
        <f t="shared" si="5"/>
        <v>871.69999999999993</v>
      </c>
      <c r="N69" s="28">
        <f t="shared" si="5"/>
        <v>871.69999999999993</v>
      </c>
      <c r="O69" s="28">
        <f>K69*1.1</f>
        <v>958.87</v>
      </c>
      <c r="P69" s="28">
        <f t="shared" ref="P69:R69" si="6">L69*1.1</f>
        <v>958.87</v>
      </c>
      <c r="Q69" s="28">
        <f t="shared" si="6"/>
        <v>958.87</v>
      </c>
      <c r="R69" s="28">
        <f t="shared" si="6"/>
        <v>958.87</v>
      </c>
      <c r="S69" s="28">
        <f>O69*1.15</f>
        <v>1102.7004999999999</v>
      </c>
      <c r="T69" s="28">
        <f t="shared" ref="T69:V69" si="7">P69*1.15</f>
        <v>1102.7004999999999</v>
      </c>
      <c r="U69" s="28">
        <f t="shared" si="7"/>
        <v>1102.7004999999999</v>
      </c>
      <c r="V69" s="28">
        <f t="shared" si="7"/>
        <v>1102.7004999999999</v>
      </c>
      <c r="W69" s="28">
        <f>S69*1.1</f>
        <v>1212.97055</v>
      </c>
      <c r="X69" s="28">
        <f t="shared" ref="X69:Z69" si="8">T69*1.1</f>
        <v>1212.97055</v>
      </c>
      <c r="Y69" s="28">
        <f t="shared" si="8"/>
        <v>1212.97055</v>
      </c>
      <c r="Z69" s="28">
        <f t="shared" si="8"/>
        <v>1212.97055</v>
      </c>
    </row>
    <row r="70" spans="6:26">
      <c r="F70" s="13" t="s">
        <v>35</v>
      </c>
      <c r="G70" s="28">
        <f>G42</f>
        <v>73476.55</v>
      </c>
      <c r="H70" s="28">
        <v>0</v>
      </c>
      <c r="I70" s="28">
        <v>0</v>
      </c>
      <c r="J70" s="28">
        <v>0</v>
      </c>
      <c r="K70" s="28">
        <v>0</v>
      </c>
      <c r="L70" s="28">
        <v>0</v>
      </c>
      <c r="M70" s="28">
        <v>0</v>
      </c>
      <c r="N70" s="28">
        <v>0</v>
      </c>
      <c r="O70" s="28">
        <f>K70*1.1</f>
        <v>0</v>
      </c>
      <c r="P70" s="28">
        <f>L70*1.1</f>
        <v>0</v>
      </c>
      <c r="Q70" s="28">
        <f>M70*1.1</f>
        <v>0</v>
      </c>
      <c r="R70" s="28">
        <f>N70*1.1</f>
        <v>0</v>
      </c>
      <c r="S70" s="28">
        <f>O70*1.15</f>
        <v>0</v>
      </c>
      <c r="T70" s="28">
        <f>P70*1.15</f>
        <v>0</v>
      </c>
      <c r="U70" s="28">
        <f>Q70*1.15</f>
        <v>0</v>
      </c>
      <c r="V70" s="28">
        <f>R70*1.15</f>
        <v>0</v>
      </c>
      <c r="W70" s="28">
        <f>S70*1.1</f>
        <v>0</v>
      </c>
      <c r="X70" s="28">
        <f>T70*1.1</f>
        <v>0</v>
      </c>
      <c r="Y70" s="28">
        <f>U70*1.1</f>
        <v>0</v>
      </c>
      <c r="Z70" s="28">
        <f>V70*1.1</f>
        <v>0</v>
      </c>
    </row>
    <row r="71" spans="6:26">
      <c r="F71" s="13" t="s">
        <v>36</v>
      </c>
      <c r="G71" s="28">
        <f>G43*3</f>
        <v>8880</v>
      </c>
      <c r="H71" s="28">
        <v>8880</v>
      </c>
      <c r="I71" s="28">
        <v>8880</v>
      </c>
      <c r="J71" s="28">
        <v>8880</v>
      </c>
      <c r="K71" s="28">
        <f>G71*1.15</f>
        <v>10212</v>
      </c>
      <c r="L71" s="28">
        <f>H71*1.15</f>
        <v>10212</v>
      </c>
      <c r="M71" s="28">
        <f>I71*1.15</f>
        <v>10212</v>
      </c>
      <c r="N71" s="28">
        <f>J71*1.15</f>
        <v>10212</v>
      </c>
      <c r="O71" s="28">
        <f>K71*1.1</f>
        <v>11233.2</v>
      </c>
      <c r="P71" s="28">
        <f>L71*1.1</f>
        <v>11233.2</v>
      </c>
      <c r="Q71" s="28">
        <f>M71*1.1</f>
        <v>11233.2</v>
      </c>
      <c r="R71" s="28">
        <f>N71*1.1</f>
        <v>11233.2</v>
      </c>
      <c r="S71" s="28">
        <f>O71*1.15</f>
        <v>12918.18</v>
      </c>
      <c r="T71" s="28">
        <f>P71*1.15</f>
        <v>12918.18</v>
      </c>
      <c r="U71" s="28">
        <f>Q71*1.15</f>
        <v>12918.18</v>
      </c>
      <c r="V71" s="28">
        <f>R71*1.15</f>
        <v>12918.18</v>
      </c>
      <c r="W71" s="28">
        <f>S71*1.1</f>
        <v>14209.998000000001</v>
      </c>
      <c r="X71" s="28">
        <f>T71*1.1</f>
        <v>14209.998000000001</v>
      </c>
      <c r="Y71" s="28">
        <f>U71*1.1</f>
        <v>14209.998000000001</v>
      </c>
      <c r="Z71" s="28">
        <f>V71*1.1</f>
        <v>14209.998000000001</v>
      </c>
    </row>
    <row r="72" spans="6:26">
      <c r="F72" s="13" t="s">
        <v>38</v>
      </c>
      <c r="G72" s="28">
        <v>0</v>
      </c>
      <c r="H72" s="28">
        <v>0</v>
      </c>
      <c r="I72" s="28">
        <v>0</v>
      </c>
      <c r="J72" s="28">
        <v>0</v>
      </c>
      <c r="K72" s="28">
        <f>G72*1.15</f>
        <v>0</v>
      </c>
      <c r="L72" s="28">
        <f>H72*1.15</f>
        <v>0</v>
      </c>
      <c r="M72" s="28">
        <f>I72*1.15</f>
        <v>0</v>
      </c>
      <c r="N72" s="28">
        <f>J72*1.15</f>
        <v>0</v>
      </c>
      <c r="O72" s="28">
        <f>K72*1.1</f>
        <v>0</v>
      </c>
      <c r="P72" s="28">
        <f>L72*1.1</f>
        <v>0</v>
      </c>
      <c r="Q72" s="28">
        <f>M72*1.1</f>
        <v>0</v>
      </c>
      <c r="R72" s="28">
        <f>N72*1.1</f>
        <v>0</v>
      </c>
      <c r="S72" s="28">
        <f>O72*1.15</f>
        <v>0</v>
      </c>
      <c r="T72" s="28">
        <f>P72*1.15</f>
        <v>0</v>
      </c>
      <c r="U72" s="28">
        <f>Q72*1.15</f>
        <v>0</v>
      </c>
      <c r="V72" s="28">
        <f>R72*1.15</f>
        <v>0</v>
      </c>
      <c r="W72" s="28">
        <f>S72*1.1</f>
        <v>0</v>
      </c>
      <c r="X72" s="28">
        <f>T72*1.1</f>
        <v>0</v>
      </c>
      <c r="Y72" s="28">
        <f>U72*1.1</f>
        <v>0</v>
      </c>
      <c r="Z72" s="28">
        <f>V72*1.1</f>
        <v>0</v>
      </c>
    </row>
    <row r="73" spans="6:26">
      <c r="F73" s="13" t="s">
        <v>53</v>
      </c>
      <c r="G73" s="28">
        <v>0</v>
      </c>
      <c r="H73" s="28">
        <v>0</v>
      </c>
      <c r="I73" s="28">
        <v>0</v>
      </c>
      <c r="J73" s="28">
        <v>0</v>
      </c>
      <c r="K73" s="28">
        <f>G73*1.15</f>
        <v>0</v>
      </c>
      <c r="L73" s="28">
        <f>H73*1.15</f>
        <v>0</v>
      </c>
      <c r="M73" s="28">
        <f>I73*1.15</f>
        <v>0</v>
      </c>
      <c r="N73" s="28">
        <f>J73*1.15</f>
        <v>0</v>
      </c>
      <c r="O73" s="28">
        <f>K73*1.1</f>
        <v>0</v>
      </c>
      <c r="P73" s="28">
        <f>L73*1.1</f>
        <v>0</v>
      </c>
      <c r="Q73" s="28">
        <f>M73*1.1</f>
        <v>0</v>
      </c>
      <c r="R73" s="28">
        <f>N73*1.1</f>
        <v>0</v>
      </c>
      <c r="S73" s="28">
        <f>O73*1.15</f>
        <v>0</v>
      </c>
      <c r="T73" s="28">
        <f>P73*1.15</f>
        <v>0</v>
      </c>
      <c r="U73" s="28">
        <f>Q73*1.15</f>
        <v>0</v>
      </c>
      <c r="V73" s="28">
        <f>R73*1.15</f>
        <v>0</v>
      </c>
      <c r="W73" s="28">
        <f>S73*1.1</f>
        <v>0</v>
      </c>
      <c r="X73" s="28">
        <f>T73*1.1</f>
        <v>0</v>
      </c>
      <c r="Y73" s="28">
        <f>U73*1.1</f>
        <v>0</v>
      </c>
      <c r="Z73" s="28">
        <f>V73*1.1</f>
        <v>0</v>
      </c>
    </row>
    <row r="74" spans="6:26">
      <c r="F74" s="13" t="s">
        <v>40</v>
      </c>
      <c r="G74" s="28">
        <v>2000</v>
      </c>
      <c r="H74" s="28">
        <v>0</v>
      </c>
      <c r="I74" s="28">
        <v>0</v>
      </c>
      <c r="J74" s="28">
        <v>0</v>
      </c>
      <c r="K74" s="28">
        <f>G74*1.15</f>
        <v>2300</v>
      </c>
      <c r="L74" s="28">
        <f>H74*1.15</f>
        <v>0</v>
      </c>
      <c r="M74" s="28">
        <f>I74*1.15</f>
        <v>0</v>
      </c>
      <c r="N74" s="28">
        <f>J74*1.15</f>
        <v>0</v>
      </c>
      <c r="O74" s="28">
        <f>K74*1.1</f>
        <v>2530</v>
      </c>
      <c r="P74" s="28">
        <f>L74*1.1</f>
        <v>0</v>
      </c>
      <c r="Q74" s="28">
        <f>M74*1.1</f>
        <v>0</v>
      </c>
      <c r="R74" s="28">
        <f>N74*1.1</f>
        <v>0</v>
      </c>
      <c r="S74" s="28">
        <f>O74*1.15</f>
        <v>2909.5</v>
      </c>
      <c r="T74" s="28">
        <f>P74*1.15</f>
        <v>0</v>
      </c>
      <c r="U74" s="28">
        <f>Q74*1.15</f>
        <v>0</v>
      </c>
      <c r="V74" s="28">
        <f>R74*1.15</f>
        <v>0</v>
      </c>
      <c r="W74" s="28">
        <f>S74*1.1</f>
        <v>3200.4500000000003</v>
      </c>
      <c r="X74" s="28">
        <f>T74*1.1</f>
        <v>0</v>
      </c>
      <c r="Y74" s="28">
        <f>U74*1.1</f>
        <v>0</v>
      </c>
      <c r="Z74" s="28">
        <f>V74*1.1</f>
        <v>0</v>
      </c>
    </row>
    <row r="75" spans="6:26" ht="12.75">
      <c r="F75" s="26" t="s">
        <v>34</v>
      </c>
      <c r="G75" s="27">
        <f>G76+G77</f>
        <v>108996.55</v>
      </c>
      <c r="H75" s="27">
        <f t="shared" ref="H75:Z75" si="9">H76+H77</f>
        <v>0</v>
      </c>
      <c r="I75" s="27">
        <f t="shared" si="9"/>
        <v>0</v>
      </c>
      <c r="J75" s="27">
        <f t="shared" si="9"/>
        <v>0</v>
      </c>
      <c r="K75" s="132">
        <f>G75*1.15</f>
        <v>125346.03249999999</v>
      </c>
      <c r="L75" s="132">
        <f>H75*1.15</f>
        <v>0</v>
      </c>
      <c r="M75" s="132">
        <f>I75*1.15</f>
        <v>0</v>
      </c>
      <c r="N75" s="132">
        <f>J75*1.15</f>
        <v>0</v>
      </c>
      <c r="O75" s="132">
        <f>K75*1.1</f>
        <v>137880.63574999999</v>
      </c>
      <c r="P75" s="132">
        <f>L75*1.1</f>
        <v>0</v>
      </c>
      <c r="Q75" s="132">
        <f>M75*1.1</f>
        <v>0</v>
      </c>
      <c r="R75" s="132">
        <f>N75*1.1</f>
        <v>0</v>
      </c>
      <c r="S75" s="132">
        <f>O75*1.15</f>
        <v>158562.73111249998</v>
      </c>
      <c r="T75" s="132">
        <f>P75*1.15</f>
        <v>0</v>
      </c>
      <c r="U75" s="132">
        <f>Q75*1.15</f>
        <v>0</v>
      </c>
      <c r="V75" s="132">
        <f>R75*1.15</f>
        <v>0</v>
      </c>
      <c r="W75" s="132">
        <f>S75*1.1</f>
        <v>174419.00422375</v>
      </c>
      <c r="X75" s="132">
        <f>T75*1.1</f>
        <v>0</v>
      </c>
      <c r="Y75" s="132">
        <f>U75*1.1</f>
        <v>0</v>
      </c>
      <c r="Z75" s="132">
        <f>V75*1.1</f>
        <v>0</v>
      </c>
    </row>
    <row r="76" spans="6:26" ht="12.75">
      <c r="F76" s="25" t="s">
        <v>54</v>
      </c>
      <c r="G76" s="28">
        <v>73476.55</v>
      </c>
      <c r="H76" s="28">
        <v>0</v>
      </c>
      <c r="I76" s="28">
        <v>0</v>
      </c>
      <c r="J76" s="28">
        <v>0</v>
      </c>
      <c r="K76" s="130">
        <v>0</v>
      </c>
      <c r="L76" s="28">
        <f>H76*1.15</f>
        <v>0</v>
      </c>
      <c r="M76" s="28">
        <f>I76*1.15</f>
        <v>0</v>
      </c>
      <c r="N76" s="28">
        <f>J76*1.15</f>
        <v>0</v>
      </c>
      <c r="O76" s="28">
        <f>K76*1.1</f>
        <v>0</v>
      </c>
      <c r="P76" s="28">
        <f>L76*1.1</f>
        <v>0</v>
      </c>
      <c r="Q76" s="28">
        <f>M76*1.1</f>
        <v>0</v>
      </c>
      <c r="R76" s="28">
        <f>N76*1.1</f>
        <v>0</v>
      </c>
      <c r="S76" s="28">
        <f>O76*1.15</f>
        <v>0</v>
      </c>
      <c r="T76" s="28">
        <f>P76*1.15</f>
        <v>0</v>
      </c>
      <c r="U76" s="28">
        <f>Q76*1.15</f>
        <v>0</v>
      </c>
      <c r="V76" s="28">
        <f>R76*1.15</f>
        <v>0</v>
      </c>
      <c r="W76" s="28">
        <f>S76*1.1</f>
        <v>0</v>
      </c>
      <c r="X76" s="28">
        <f>T76*1.1</f>
        <v>0</v>
      </c>
      <c r="Y76" s="28">
        <f>U76*1.1</f>
        <v>0</v>
      </c>
      <c r="Z76" s="28">
        <f>V76*1.1</f>
        <v>0</v>
      </c>
    </row>
    <row r="77" spans="6:26" ht="12.75">
      <c r="F77" s="25" t="s">
        <v>36</v>
      </c>
      <c r="G77" s="28">
        <f>G71*4</f>
        <v>35520</v>
      </c>
      <c r="H77" s="28">
        <v>0</v>
      </c>
      <c r="I77" s="28">
        <v>0</v>
      </c>
      <c r="J77" s="28">
        <v>0</v>
      </c>
      <c r="K77" s="130">
        <f>G77*1.15</f>
        <v>40848</v>
      </c>
      <c r="L77" s="28">
        <f>H77*1.15</f>
        <v>0</v>
      </c>
      <c r="M77" s="28">
        <f>I77*1.15</f>
        <v>0</v>
      </c>
      <c r="N77" s="28">
        <f>J77*1.15</f>
        <v>0</v>
      </c>
      <c r="O77" s="28">
        <f>K77*1.1</f>
        <v>44932.800000000003</v>
      </c>
      <c r="P77" s="28">
        <f>L77*1.1</f>
        <v>0</v>
      </c>
      <c r="Q77" s="28">
        <f>M77*1.1</f>
        <v>0</v>
      </c>
      <c r="R77" s="28">
        <f>N77*1.1</f>
        <v>0</v>
      </c>
      <c r="S77" s="28">
        <f>O77*1.15</f>
        <v>51672.72</v>
      </c>
      <c r="T77" s="28">
        <f>P77*1.15</f>
        <v>0</v>
      </c>
      <c r="U77" s="28">
        <f>Q77*1.15</f>
        <v>0</v>
      </c>
      <c r="V77" s="28">
        <f>R77*1.15</f>
        <v>0</v>
      </c>
      <c r="W77" s="28">
        <f>S77*1.1</f>
        <v>56839.992000000006</v>
      </c>
      <c r="X77" s="28">
        <f>T77*1.1</f>
        <v>0</v>
      </c>
      <c r="Y77" s="28">
        <f>U77*1.1</f>
        <v>0</v>
      </c>
      <c r="Z77" s="28">
        <f>V77*1.1</f>
        <v>0</v>
      </c>
    </row>
    <row r="78" spans="6:26" ht="12.75">
      <c r="F78" s="13" t="s">
        <v>55</v>
      </c>
      <c r="G78" s="29">
        <f>G75+G74+G73+G72+G71+G70+G68</f>
        <v>193353.1</v>
      </c>
      <c r="H78" s="29">
        <f t="shared" ref="H78:Z78" si="10">H75+H74+H73+H72+H71+H70+H68</f>
        <v>8880</v>
      </c>
      <c r="I78" s="29">
        <f t="shared" si="10"/>
        <v>8880</v>
      </c>
      <c r="J78" s="29">
        <f t="shared" si="10"/>
        <v>8880</v>
      </c>
      <c r="K78" s="29">
        <v>9430</v>
      </c>
      <c r="L78" s="29">
        <f t="shared" si="10"/>
        <v>10212</v>
      </c>
      <c r="M78" s="29">
        <f t="shared" si="10"/>
        <v>10212</v>
      </c>
      <c r="N78" s="29">
        <f t="shared" si="10"/>
        <v>10212</v>
      </c>
      <c r="O78" s="131">
        <f>K78*1.1</f>
        <v>10373</v>
      </c>
      <c r="P78" s="131">
        <f>L78*1.1</f>
        <v>11233.2</v>
      </c>
      <c r="Q78" s="131">
        <f>M78*1.1</f>
        <v>11233.2</v>
      </c>
      <c r="R78" s="131">
        <f>N78*1.1</f>
        <v>11233.2</v>
      </c>
      <c r="S78" s="131">
        <f>O78*1.15</f>
        <v>11928.949999999999</v>
      </c>
      <c r="T78" s="131">
        <f>P78*1.15</f>
        <v>12918.18</v>
      </c>
      <c r="U78" s="131">
        <f>Q78*1.15</f>
        <v>12918.18</v>
      </c>
      <c r="V78" s="131">
        <f>R78*1.15</f>
        <v>12918.18</v>
      </c>
      <c r="W78" s="131">
        <f>S78*1.1</f>
        <v>13121.844999999999</v>
      </c>
      <c r="X78" s="131">
        <f>T78*1.1</f>
        <v>14209.998000000001</v>
      </c>
      <c r="Y78" s="131">
        <f>U78*1.1</f>
        <v>14209.998000000001</v>
      </c>
      <c r="Z78" s="131">
        <f>V78*1.1</f>
        <v>14209.998000000001</v>
      </c>
    </row>
    <row r="79" spans="6:26"/>
    <row r="80" spans="6:26"/>
    <row r="81" spans="5:5"/>
    <row r="82" spans="5:5"/>
    <row r="83" spans="5:5"/>
    <row r="84" spans="5:5"/>
    <row r="85" spans="5:5"/>
    <row r="86" spans="5:5"/>
    <row r="87" spans="5:5"/>
    <row r="88" spans="5:5">
      <c r="E88" s="19"/>
    </row>
    <row r="89" spans="5:5">
      <c r="E89" s="19"/>
    </row>
    <row r="90" spans="5:5">
      <c r="E90" s="19"/>
    </row>
    <row r="91" spans="5:5">
      <c r="E91" s="19"/>
    </row>
    <row r="92" spans="5:5">
      <c r="E92" s="19"/>
    </row>
    <row r="93" spans="5:5">
      <c r="E93" s="19"/>
    </row>
    <row r="94" spans="5:5">
      <c r="E94" s="19"/>
    </row>
    <row r="95" spans="5:5">
      <c r="E95" s="19"/>
    </row>
    <row r="96" spans="5:5">
      <c r="E96" s="19"/>
    </row>
    <row r="97" spans="5:5">
      <c r="E97" s="19"/>
    </row>
    <row r="98" spans="5:5">
      <c r="E98" s="19"/>
    </row>
    <row r="99" spans="5:5">
      <c r="E99" s="19"/>
    </row>
    <row r="100" spans="5:5">
      <c r="E100" s="19"/>
    </row>
    <row r="101" spans="5:5"/>
    <row r="102" spans="5:5"/>
    <row r="103" spans="5:5"/>
    <row r="104" spans="5:5"/>
    <row r="105" spans="5:5"/>
    <row r="106" spans="5:5"/>
    <row r="107" spans="5:5"/>
    <row r="108" spans="5:5"/>
    <row r="109" spans="5:5"/>
    <row r="110" spans="5:5"/>
    <row r="111" spans="5:5"/>
    <row r="112" spans="5:5"/>
    <row r="113" spans="1:27"/>
    <row r="114" spans="1:27"/>
    <row r="115" spans="1:27" ht="15.95" thickBot="1">
      <c r="A115" s="36" t="s">
        <v>56</v>
      </c>
      <c r="B115" s="37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</row>
    <row r="116" spans="1:27" ht="15.4" thickTop="1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</row>
    <row r="117" spans="1:27" ht="33" customHeight="1">
      <c r="A117" s="4"/>
      <c r="B117" s="4"/>
      <c r="C117" s="4"/>
      <c r="D117" s="4"/>
      <c r="E117" s="53" t="s">
        <v>57</v>
      </c>
      <c r="F117" s="107" t="s">
        <v>58</v>
      </c>
      <c r="G117" s="108"/>
      <c r="H117" s="107" t="s">
        <v>59</v>
      </c>
      <c r="I117" s="108"/>
      <c r="J117" s="56"/>
      <c r="K117" s="56"/>
      <c r="L117" s="56"/>
      <c r="M117" s="56"/>
      <c r="N117" s="56"/>
      <c r="O117" s="57"/>
      <c r="P117" s="57"/>
      <c r="Q117" s="56" t="s">
        <v>60</v>
      </c>
      <c r="R117" s="56" t="s">
        <v>61</v>
      </c>
      <c r="S117" s="56" t="s">
        <v>62</v>
      </c>
      <c r="T117" s="57"/>
      <c r="U117" s="4"/>
      <c r="V117" s="4"/>
      <c r="W117" s="4"/>
      <c r="X117" s="47"/>
      <c r="Y117" s="47"/>
      <c r="Z117" s="47"/>
      <c r="AA117" s="47"/>
    </row>
    <row r="118" spans="1:27" ht="15.75">
      <c r="A118" s="118" t="s">
        <v>52</v>
      </c>
      <c r="B118" s="118"/>
      <c r="C118" s="118"/>
      <c r="D118" s="119"/>
      <c r="E118" s="54">
        <f>I34</f>
        <v>3032</v>
      </c>
      <c r="F118" s="89">
        <f>E118*1.1</f>
        <v>3335.2000000000003</v>
      </c>
      <c r="G118" s="90"/>
      <c r="H118" s="89">
        <v>0</v>
      </c>
      <c r="I118" s="90"/>
      <c r="J118" s="56"/>
      <c r="K118" s="56"/>
      <c r="L118" s="56"/>
      <c r="M118" s="56"/>
      <c r="N118" s="57"/>
      <c r="O118" s="95" t="s">
        <v>52</v>
      </c>
      <c r="P118" s="95"/>
      <c r="Q118" s="58">
        <v>1</v>
      </c>
      <c r="R118" s="59">
        <f>IF(F118=0,"",(F118)/E118)</f>
        <v>1.1000000000000001</v>
      </c>
      <c r="S118" s="59" t="str">
        <f>IF(H118=0,"",(H118/E118))</f>
        <v/>
      </c>
      <c r="T118" s="57"/>
      <c r="U118" s="4"/>
      <c r="V118" s="4"/>
      <c r="W118" s="4"/>
      <c r="X118" s="47"/>
      <c r="Y118" s="47"/>
      <c r="Z118" s="47"/>
      <c r="AA118" s="47"/>
    </row>
    <row r="119" spans="1:27" ht="15.4" customHeight="1">
      <c r="A119" s="104" t="s">
        <v>63</v>
      </c>
      <c r="B119" s="104"/>
      <c r="C119" s="104"/>
      <c r="D119" s="105"/>
      <c r="E119" s="54">
        <f>M34+O34</f>
        <v>0</v>
      </c>
      <c r="F119" s="89">
        <f t="shared" ref="F119:F127" si="11">E119*1.1</f>
        <v>0</v>
      </c>
      <c r="G119" s="90"/>
      <c r="H119" s="89">
        <v>0</v>
      </c>
      <c r="I119" s="90"/>
      <c r="J119" s="56"/>
      <c r="K119" s="56"/>
      <c r="L119" s="56"/>
      <c r="M119" s="56"/>
      <c r="N119" s="57"/>
      <c r="O119" s="95" t="s">
        <v>51</v>
      </c>
      <c r="P119" s="95"/>
      <c r="Q119" s="58">
        <v>1</v>
      </c>
      <c r="R119" s="59" t="str">
        <f t="shared" ref="R119:R128" si="12">IF(F119=0,"",(F119)/E119)</f>
        <v/>
      </c>
      <c r="S119" s="59" t="str">
        <f t="shared" ref="S119:S128" si="13">IF(H119=0,"",(H119/E119))</f>
        <v/>
      </c>
      <c r="T119" s="57"/>
      <c r="U119" s="4"/>
      <c r="V119" s="4"/>
      <c r="W119" s="4"/>
      <c r="X119" s="47"/>
      <c r="Y119" s="47"/>
      <c r="Z119" s="47"/>
      <c r="AA119" s="47"/>
    </row>
    <row r="120" spans="1:27" ht="15.4" customHeight="1">
      <c r="A120" s="104" t="s">
        <v>35</v>
      </c>
      <c r="B120" s="104"/>
      <c r="C120" s="104"/>
      <c r="D120" s="105"/>
      <c r="E120" s="54">
        <f>G42</f>
        <v>73476.55</v>
      </c>
      <c r="F120" s="89">
        <f t="shared" si="11"/>
        <v>80824.205000000016</v>
      </c>
      <c r="G120" s="90"/>
      <c r="H120" s="89">
        <v>0</v>
      </c>
      <c r="I120" s="90"/>
      <c r="J120" s="56"/>
      <c r="K120" s="56"/>
      <c r="L120" s="56"/>
      <c r="M120" s="56"/>
      <c r="N120" s="57"/>
      <c r="O120" s="95" t="s">
        <v>35</v>
      </c>
      <c r="P120" s="95"/>
      <c r="Q120" s="58">
        <v>1</v>
      </c>
      <c r="R120" s="59">
        <f t="shared" si="12"/>
        <v>1.1000000000000001</v>
      </c>
      <c r="S120" s="59" t="str">
        <f t="shared" si="13"/>
        <v/>
      </c>
      <c r="T120" s="57"/>
      <c r="U120" s="4"/>
      <c r="V120" s="4"/>
      <c r="W120" s="4"/>
      <c r="X120" s="47"/>
      <c r="Y120" s="47"/>
      <c r="Z120" s="47"/>
      <c r="AA120" s="47"/>
    </row>
    <row r="121" spans="1:27" ht="15.4" customHeight="1">
      <c r="A121" s="104" t="s">
        <v>36</v>
      </c>
      <c r="B121" s="104"/>
      <c r="C121" s="104"/>
      <c r="D121" s="105"/>
      <c r="E121" s="54">
        <f>G43</f>
        <v>2960</v>
      </c>
      <c r="F121" s="89">
        <f t="shared" si="11"/>
        <v>3256.0000000000005</v>
      </c>
      <c r="G121" s="90"/>
      <c r="H121" s="89">
        <v>0</v>
      </c>
      <c r="I121" s="90"/>
      <c r="J121" s="56"/>
      <c r="K121" s="56"/>
      <c r="L121" s="56"/>
      <c r="M121" s="56"/>
      <c r="N121" s="57"/>
      <c r="O121" s="95" t="s">
        <v>36</v>
      </c>
      <c r="P121" s="95"/>
      <c r="Q121" s="58">
        <v>1</v>
      </c>
      <c r="R121" s="59">
        <f t="shared" si="12"/>
        <v>1.1000000000000001</v>
      </c>
      <c r="S121" s="59" t="str">
        <f t="shared" si="13"/>
        <v/>
      </c>
      <c r="T121" s="57"/>
      <c r="U121" s="4"/>
      <c r="V121" s="4"/>
      <c r="W121" s="4"/>
      <c r="X121" s="47"/>
      <c r="Y121" s="47"/>
      <c r="Z121" s="47"/>
      <c r="AA121" s="47"/>
    </row>
    <row r="122" spans="1:27" ht="15.4" customHeight="1">
      <c r="A122" s="104" t="s">
        <v>38</v>
      </c>
      <c r="B122" s="104"/>
      <c r="C122" s="104"/>
      <c r="D122" s="105"/>
      <c r="E122" s="54">
        <f>G54</f>
        <v>0</v>
      </c>
      <c r="F122" s="89">
        <f t="shared" si="11"/>
        <v>0</v>
      </c>
      <c r="G122" s="90"/>
      <c r="H122" s="89">
        <v>0</v>
      </c>
      <c r="I122" s="90"/>
      <c r="J122" s="56"/>
      <c r="K122" s="56"/>
      <c r="L122" s="56"/>
      <c r="M122" s="56"/>
      <c r="N122" s="57"/>
      <c r="O122" s="95" t="s">
        <v>38</v>
      </c>
      <c r="P122" s="95"/>
      <c r="Q122" s="58">
        <v>1</v>
      </c>
      <c r="R122" s="59" t="str">
        <f t="shared" si="12"/>
        <v/>
      </c>
      <c r="S122" s="59" t="str">
        <f t="shared" si="13"/>
        <v/>
      </c>
      <c r="T122" s="57"/>
      <c r="U122" s="4"/>
      <c r="V122" s="4"/>
      <c r="W122" s="4"/>
      <c r="X122" s="47"/>
      <c r="Y122" s="47"/>
      <c r="Z122" s="47"/>
      <c r="AA122" s="47"/>
    </row>
    <row r="123" spans="1:27" ht="15.4" customHeight="1">
      <c r="A123" s="104" t="s">
        <v>53</v>
      </c>
      <c r="B123" s="104"/>
      <c r="C123" s="104"/>
      <c r="D123" s="105"/>
      <c r="E123" s="54">
        <f>G55</f>
        <v>700</v>
      </c>
      <c r="F123" s="89">
        <f t="shared" si="11"/>
        <v>770.00000000000011</v>
      </c>
      <c r="G123" s="90"/>
      <c r="H123" s="89">
        <v>0</v>
      </c>
      <c r="I123" s="90"/>
      <c r="J123" s="56"/>
      <c r="K123" s="56"/>
      <c r="L123" s="56"/>
      <c r="M123" s="56"/>
      <c r="N123" s="57"/>
      <c r="O123" s="95" t="s">
        <v>53</v>
      </c>
      <c r="P123" s="95"/>
      <c r="Q123" s="58">
        <v>1</v>
      </c>
      <c r="R123" s="59">
        <f t="shared" si="12"/>
        <v>1.1000000000000001</v>
      </c>
      <c r="S123" s="59" t="str">
        <f t="shared" si="13"/>
        <v/>
      </c>
      <c r="T123" s="57"/>
      <c r="U123" s="4"/>
      <c r="V123" s="4"/>
      <c r="W123" s="4"/>
      <c r="X123" s="47"/>
      <c r="Y123" s="47"/>
      <c r="Z123" s="47"/>
      <c r="AA123" s="47"/>
    </row>
    <row r="124" spans="1:27" ht="15.4" customHeight="1">
      <c r="A124" s="104" t="s">
        <v>40</v>
      </c>
      <c r="B124" s="104"/>
      <c r="C124" s="104"/>
      <c r="D124" s="105"/>
      <c r="E124" s="54">
        <f>G56</f>
        <v>2000</v>
      </c>
      <c r="F124" s="89">
        <f t="shared" si="11"/>
        <v>2200</v>
      </c>
      <c r="G124" s="90"/>
      <c r="H124" s="89">
        <v>0</v>
      </c>
      <c r="I124" s="90"/>
      <c r="J124" s="56"/>
      <c r="K124" s="56"/>
      <c r="L124" s="56"/>
      <c r="M124" s="56"/>
      <c r="N124" s="57"/>
      <c r="O124" s="95" t="s">
        <v>40</v>
      </c>
      <c r="P124" s="95"/>
      <c r="Q124" s="58">
        <v>1</v>
      </c>
      <c r="R124" s="59">
        <f t="shared" si="12"/>
        <v>1.1000000000000001</v>
      </c>
      <c r="S124" s="59" t="str">
        <f t="shared" si="13"/>
        <v/>
      </c>
      <c r="T124" s="57"/>
      <c r="U124" s="4"/>
      <c r="V124" s="4"/>
      <c r="W124" s="4"/>
      <c r="X124" s="47"/>
      <c r="Y124" s="47"/>
      <c r="Z124" s="47"/>
      <c r="AA124" s="47"/>
    </row>
    <row r="125" spans="1:27" ht="15.4" customHeight="1">
      <c r="A125" s="96" t="s">
        <v>34</v>
      </c>
      <c r="B125" s="96"/>
      <c r="C125" s="96"/>
      <c r="D125" s="97"/>
      <c r="E125" s="52">
        <f>E126+E127</f>
        <v>35520</v>
      </c>
      <c r="F125" s="89">
        <f t="shared" si="11"/>
        <v>39072</v>
      </c>
      <c r="G125" s="90"/>
      <c r="H125" s="98">
        <f>H126+H127</f>
        <v>0</v>
      </c>
      <c r="I125" s="99"/>
      <c r="J125" s="56"/>
      <c r="K125" s="56"/>
      <c r="L125" s="56"/>
      <c r="M125" s="56"/>
      <c r="N125" s="57"/>
      <c r="O125" s="95" t="s">
        <v>64</v>
      </c>
      <c r="P125" s="95"/>
      <c r="Q125" s="58">
        <v>1</v>
      </c>
      <c r="R125" s="59">
        <f t="shared" ref="R125" si="14">IF(F125=0,"",(F125)/E125)</f>
        <v>1.1000000000000001</v>
      </c>
      <c r="S125" s="59" t="str">
        <f t="shared" ref="S125" si="15">IF(H125=0,"",(H125/E125))</f>
        <v/>
      </c>
      <c r="T125" s="57"/>
      <c r="U125" s="4"/>
      <c r="V125" s="4"/>
      <c r="W125" s="4"/>
      <c r="X125" s="47"/>
      <c r="Y125" s="47"/>
      <c r="Z125" s="47"/>
      <c r="AA125" s="47"/>
    </row>
    <row r="126" spans="1:27" ht="15.4" customHeight="1">
      <c r="A126" s="100" t="s">
        <v>65</v>
      </c>
      <c r="B126" s="100"/>
      <c r="C126" s="100"/>
      <c r="D126" s="101"/>
      <c r="E126" s="54">
        <f>I42</f>
        <v>0</v>
      </c>
      <c r="F126" s="89">
        <f t="shared" si="11"/>
        <v>0</v>
      </c>
      <c r="G126" s="90"/>
      <c r="H126" s="89">
        <v>0</v>
      </c>
      <c r="I126" s="90"/>
      <c r="J126" s="56"/>
      <c r="K126" s="56"/>
      <c r="L126" s="56"/>
      <c r="M126" s="56"/>
      <c r="N126" s="57"/>
      <c r="O126" s="103" t="s">
        <v>54</v>
      </c>
      <c r="P126" s="103"/>
      <c r="Q126" s="58">
        <v>1</v>
      </c>
      <c r="R126" s="59" t="str">
        <f t="shared" si="12"/>
        <v/>
      </c>
      <c r="S126" s="59" t="str">
        <f t="shared" si="13"/>
        <v/>
      </c>
      <c r="T126" s="57"/>
      <c r="U126" s="4"/>
      <c r="V126" s="4"/>
      <c r="W126" s="4"/>
      <c r="X126" s="47"/>
      <c r="Y126" s="47"/>
      <c r="Z126" s="47"/>
      <c r="AA126" s="47"/>
    </row>
    <row r="127" spans="1:27" ht="15.4" customHeight="1">
      <c r="A127" s="100" t="s">
        <v>36</v>
      </c>
      <c r="B127" s="100"/>
      <c r="C127" s="100"/>
      <c r="D127" s="101"/>
      <c r="E127" s="54">
        <f>I43</f>
        <v>35520</v>
      </c>
      <c r="F127" s="89">
        <f t="shared" si="11"/>
        <v>39072</v>
      </c>
      <c r="G127" s="90"/>
      <c r="H127" s="89">
        <v>0</v>
      </c>
      <c r="I127" s="90"/>
      <c r="J127" s="56"/>
      <c r="K127" s="56"/>
      <c r="L127" s="56"/>
      <c r="M127" s="56"/>
      <c r="N127" s="57"/>
      <c r="O127" s="103" t="s">
        <v>36</v>
      </c>
      <c r="P127" s="103"/>
      <c r="Q127" s="58">
        <v>1</v>
      </c>
      <c r="R127" s="59">
        <f t="shared" si="12"/>
        <v>1.1000000000000001</v>
      </c>
      <c r="S127" s="59" t="str">
        <f t="shared" si="13"/>
        <v/>
      </c>
      <c r="T127" s="57"/>
      <c r="U127" s="4"/>
      <c r="V127" s="4"/>
      <c r="W127" s="4"/>
      <c r="X127" s="47"/>
      <c r="Y127" s="47"/>
      <c r="Z127" s="47"/>
      <c r="AA127" s="47"/>
    </row>
    <row r="128" spans="1:27" ht="15.75">
      <c r="A128" s="35"/>
      <c r="B128" s="35"/>
      <c r="C128" s="88" t="s">
        <v>55</v>
      </c>
      <c r="D128" s="88"/>
      <c r="E128" s="55">
        <f t="shared" ref="E128" si="16">SUM(E118:G125)</f>
        <v>247145.95500000002</v>
      </c>
      <c r="F128" s="66">
        <f>SUM(F118:G125)</f>
        <v>129457.40500000001</v>
      </c>
      <c r="G128" s="67"/>
      <c r="H128" s="66">
        <f>SUM(H118:I125)</f>
        <v>0</v>
      </c>
      <c r="I128" s="67"/>
      <c r="J128" s="56"/>
      <c r="K128" s="56"/>
      <c r="L128" s="56"/>
      <c r="M128" s="56"/>
      <c r="N128" s="57"/>
      <c r="O128" s="95" t="s">
        <v>55</v>
      </c>
      <c r="P128" s="95"/>
      <c r="Q128" s="58">
        <v>1</v>
      </c>
      <c r="R128" s="59">
        <f t="shared" si="12"/>
        <v>0.52380952380952384</v>
      </c>
      <c r="S128" s="59" t="str">
        <f t="shared" si="13"/>
        <v/>
      </c>
      <c r="T128" s="57"/>
      <c r="U128" s="4"/>
      <c r="V128" s="4"/>
      <c r="W128" s="4"/>
      <c r="X128" s="47"/>
      <c r="Y128" s="47"/>
      <c r="Z128" s="47"/>
      <c r="AA128" s="47"/>
    </row>
    <row r="129" spans="1:27" ht="15">
      <c r="A129" s="4"/>
      <c r="B129" s="4"/>
      <c r="C129" s="4"/>
      <c r="D129" s="4"/>
      <c r="E129" s="4"/>
      <c r="F129" s="4"/>
      <c r="G129" s="4"/>
      <c r="H129" s="4"/>
      <c r="I129" s="4"/>
      <c r="J129" s="57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4"/>
      <c r="V129" s="4"/>
      <c r="W129" s="4"/>
      <c r="X129" s="47"/>
      <c r="Y129" s="47"/>
      <c r="Z129" s="47"/>
      <c r="AA129" s="47"/>
    </row>
    <row r="130" spans="1:27" ht="1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7"/>
      <c r="Y130" s="47"/>
      <c r="Z130" s="47"/>
      <c r="AA130" s="47"/>
    </row>
    <row r="131" spans="1:27" ht="1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</row>
    <row r="132" spans="1:27" ht="1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</row>
    <row r="133" spans="1:27" ht="1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</row>
    <row r="134" spans="1:27" ht="1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</row>
    <row r="135" spans="1:27" ht="1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</row>
    <row r="136" spans="1:27" ht="1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</row>
    <row r="137" spans="1:27" ht="1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</row>
    <row r="138" spans="1:27" ht="1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</row>
    <row r="139" spans="1:27" ht="1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</row>
    <row r="140" spans="1:27" ht="1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</row>
    <row r="141" spans="1:27" ht="1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</row>
    <row r="142" spans="1:27" ht="1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</row>
    <row r="143" spans="1:27" ht="1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</row>
    <row r="144" spans="1:27" ht="1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</row>
    <row r="145" spans="1:23" ht="1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</row>
    <row r="146" spans="1:23" ht="1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</row>
    <row r="147" spans="1:23" ht="1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</row>
    <row r="148" spans="1:23" ht="1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</row>
    <row r="149" spans="1:23" ht="1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</row>
    <row r="150" spans="1:23" ht="1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</row>
    <row r="151" spans="1:23" ht="1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</row>
    <row r="152" spans="1:23" ht="1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</row>
    <row r="153" spans="1:23" ht="1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</row>
    <row r="154" spans="1:23" ht="1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</row>
    <row r="155" spans="1:23" ht="1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</row>
    <row r="156" spans="1:23" ht="1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</row>
    <row r="157" spans="1:23" ht="1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</row>
    <row r="158" spans="1:23" ht="1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</row>
    <row r="159" spans="1:23" ht="1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</row>
    <row r="160" spans="1:23"/>
    <row r="161"/>
    <row r="162"/>
    <row r="163"/>
    <row r="164"/>
    <row r="165"/>
    <row r="166"/>
  </sheetData>
  <sheetProtection insertRows="0" selectLockedCells="1"/>
  <mergeCells count="120">
    <mergeCell ref="A11:D11"/>
    <mergeCell ref="A12:D12"/>
    <mergeCell ref="A13:D13"/>
    <mergeCell ref="A14:D14"/>
    <mergeCell ref="O118:P118"/>
    <mergeCell ref="D20:F20"/>
    <mergeCell ref="S66:V66"/>
    <mergeCell ref="O33:P33"/>
    <mergeCell ref="O119:P119"/>
    <mergeCell ref="O120:P120"/>
    <mergeCell ref="W66:Z66"/>
    <mergeCell ref="Q34:R34"/>
    <mergeCell ref="O34:P34"/>
    <mergeCell ref="G66:J66"/>
    <mergeCell ref="K66:N66"/>
    <mergeCell ref="O66:R66"/>
    <mergeCell ref="Q26:R32"/>
    <mergeCell ref="O31:P31"/>
    <mergeCell ref="O32:P32"/>
    <mergeCell ref="O26:P26"/>
    <mergeCell ref="O27:P27"/>
    <mergeCell ref="O28:P28"/>
    <mergeCell ref="O29:P29"/>
    <mergeCell ref="F117:G117"/>
    <mergeCell ref="I26:J26"/>
    <mergeCell ref="I27:J27"/>
    <mergeCell ref="I28:J28"/>
    <mergeCell ref="I29:J29"/>
    <mergeCell ref="A124:D124"/>
    <mergeCell ref="I24:J25"/>
    <mergeCell ref="M24:N25"/>
    <mergeCell ref="M26:N26"/>
    <mergeCell ref="M27:N27"/>
    <mergeCell ref="M28:N28"/>
    <mergeCell ref="C27:F27"/>
    <mergeCell ref="G24:H24"/>
    <mergeCell ref="C26:F26"/>
    <mergeCell ref="C28:F28"/>
    <mergeCell ref="C29:F29"/>
    <mergeCell ref="C32:F32"/>
    <mergeCell ref="C31:F31"/>
    <mergeCell ref="A118:D118"/>
    <mergeCell ref="A119:D119"/>
    <mergeCell ref="A120:D120"/>
    <mergeCell ref="A121:D121"/>
    <mergeCell ref="A122:D122"/>
    <mergeCell ref="M33:N33"/>
    <mergeCell ref="M34:N34"/>
    <mergeCell ref="A126:D126"/>
    <mergeCell ref="H121:I121"/>
    <mergeCell ref="F122:G122"/>
    <mergeCell ref="H122:I122"/>
    <mergeCell ref="C30:F30"/>
    <mergeCell ref="O126:P126"/>
    <mergeCell ref="O127:P127"/>
    <mergeCell ref="A127:D127"/>
    <mergeCell ref="I31:J31"/>
    <mergeCell ref="F127:G127"/>
    <mergeCell ref="H127:I127"/>
    <mergeCell ref="O123:P123"/>
    <mergeCell ref="O124:P124"/>
    <mergeCell ref="A123:D123"/>
    <mergeCell ref="O121:P121"/>
    <mergeCell ref="O30:P30"/>
    <mergeCell ref="O122:P122"/>
    <mergeCell ref="M32:N32"/>
    <mergeCell ref="H117:I117"/>
    <mergeCell ref="F118:G118"/>
    <mergeCell ref="H118:I118"/>
    <mergeCell ref="F119:G119"/>
    <mergeCell ref="I30:J30"/>
    <mergeCell ref="I32:J32"/>
    <mergeCell ref="C128:D128"/>
    <mergeCell ref="F123:G123"/>
    <mergeCell ref="H123:I123"/>
    <mergeCell ref="F124:G124"/>
    <mergeCell ref="H124:I124"/>
    <mergeCell ref="E12:F12"/>
    <mergeCell ref="E14:F14"/>
    <mergeCell ref="A6:S6"/>
    <mergeCell ref="E13:F13"/>
    <mergeCell ref="E11:F11"/>
    <mergeCell ref="I10:O10"/>
    <mergeCell ref="O128:P128"/>
    <mergeCell ref="O125:P125"/>
    <mergeCell ref="A125:D125"/>
    <mergeCell ref="F125:G125"/>
    <mergeCell ref="H125:I125"/>
    <mergeCell ref="M29:N29"/>
    <mergeCell ref="H119:I119"/>
    <mergeCell ref="F120:G120"/>
    <mergeCell ref="H120:I120"/>
    <mergeCell ref="F121:G121"/>
    <mergeCell ref="F126:G126"/>
    <mergeCell ref="H126:I126"/>
    <mergeCell ref="M30:N30"/>
    <mergeCell ref="F128:G128"/>
    <mergeCell ref="H128:I128"/>
    <mergeCell ref="B16:D16"/>
    <mergeCell ref="K24:L24"/>
    <mergeCell ref="O24:P25"/>
    <mergeCell ref="Q24:R25"/>
    <mergeCell ref="M31:N31"/>
    <mergeCell ref="I42:J42"/>
    <mergeCell ref="I43:J43"/>
    <mergeCell ref="I34:J34"/>
    <mergeCell ref="G44:H44"/>
    <mergeCell ref="C34:F34"/>
    <mergeCell ref="I44:J44"/>
    <mergeCell ref="G40:H41"/>
    <mergeCell ref="I40:J41"/>
    <mergeCell ref="G42:H42"/>
    <mergeCell ref="G43:H43"/>
    <mergeCell ref="G57:H57"/>
    <mergeCell ref="G52:H53"/>
    <mergeCell ref="G54:H54"/>
    <mergeCell ref="G56:H56"/>
    <mergeCell ref="G55:H55"/>
    <mergeCell ref="C33:F33"/>
    <mergeCell ref="I33:J33"/>
  </mergeCells>
  <phoneticPr fontId="5" type="noConversion"/>
  <conditionalFormatting sqref="H59:J60 I50:J57 H38 H46:L48 H50 I38:J39 M38:AG48 K38:L44 H42:J42 H36:W36 H54:H57 AA62:AG79 T66:V67 X66:Z67 K50:AG60 L66:N67 P66:R67 K62:Z65 H79:Z79 A35:R35 H62:J67 L31:L33 H30:H33 S24:W35 X28:AG36 H44:J44 H43 J43 H78:J78 L78:N78 P78:R78 T78:V78 X78:Z78 K76:Z77 G68:Z74">
    <cfRule type="cellIs" dxfId="29" priority="26" stopIfTrue="1" operator="equal">
      <formula>"R"</formula>
    </cfRule>
    <cfRule type="cellIs" dxfId="28" priority="27" stopIfTrue="1" operator="equal">
      <formula>"A"</formula>
    </cfRule>
    <cfRule type="cellIs" dxfId="27" priority="28" stopIfTrue="1" operator="equal">
      <formula>"C"</formula>
    </cfRule>
  </conditionalFormatting>
  <conditionalFormatting sqref="C36 C34 C38:C48 C50:C60 C62:C79">
    <cfRule type="cellIs" dxfId="26" priority="29" stopIfTrue="1" operator="equal">
      <formula>"x"</formula>
    </cfRule>
  </conditionalFormatting>
  <conditionalFormatting sqref="E15:E16 S17:AI20 P8:T10 F10 B9:D9 E8:O9 A8:D8 F19 A19 B17:F17 G17:G20 J17:J20 H17:I17 H20:I20 U8:AI16">
    <cfRule type="cellIs" dxfId="25" priority="32" stopIfTrue="1" operator="equal">
      <formula>0</formula>
    </cfRule>
    <cfRule type="cellIs" dxfId="24" priority="33" stopIfTrue="1" operator="equal">
      <formula>"1"</formula>
    </cfRule>
  </conditionalFormatting>
  <conditionalFormatting sqref="N17:R20">
    <cfRule type="cellIs" dxfId="23" priority="34" stopIfTrue="1" operator="equal">
      <formula>"No se cuenta con el presupuesto para ejecutar la iniciativa"</formula>
    </cfRule>
    <cfRule type="cellIs" dxfId="22" priority="35" stopIfTrue="1" operator="equal">
      <formula>"√"</formula>
    </cfRule>
  </conditionalFormatting>
  <conditionalFormatting sqref="H10 G10:G13 G11:R17">
    <cfRule type="cellIs" dxfId="21" priority="39" stopIfTrue="1" operator="equal">
      <formula>"a"</formula>
    </cfRule>
    <cfRule type="cellIs" dxfId="20" priority="40" stopIfTrue="1" operator="equal">
      <formula>"b"</formula>
    </cfRule>
    <cfRule type="cellIs" dxfId="19" priority="41" stopIfTrue="1" operator="equal">
      <formula>"c"</formula>
    </cfRule>
  </conditionalFormatting>
  <conditionalFormatting sqref="N12:P13 Q15:T16 P15 E18:E19 P14:S14">
    <cfRule type="expression" dxfId="18" priority="42" stopIfTrue="1">
      <formula>$N$13&lt;&gt;0</formula>
    </cfRule>
  </conditionalFormatting>
  <conditionalFormatting sqref="D20:F20">
    <cfRule type="expression" dxfId="17" priority="47" stopIfTrue="1">
      <formula>$A$19="Justificación:"</formula>
    </cfRule>
  </conditionalFormatting>
  <conditionalFormatting sqref="I11">
    <cfRule type="expression" dxfId="16" priority="83" stopIfTrue="1">
      <formula>#REF!&lt;&gt;0</formula>
    </cfRule>
  </conditionalFormatting>
  <conditionalFormatting sqref="A21:AI21">
    <cfRule type="cellIs" dxfId="15" priority="24" stopIfTrue="1" operator="equal">
      <formula>0</formula>
    </cfRule>
    <cfRule type="cellIs" dxfId="14" priority="25" stopIfTrue="1" operator="equal">
      <formula>"1"</formula>
    </cfRule>
  </conditionalFormatting>
  <conditionalFormatting sqref="A37:AI37">
    <cfRule type="cellIs" dxfId="13" priority="22" stopIfTrue="1" operator="equal">
      <formula>0</formula>
    </cfRule>
    <cfRule type="cellIs" dxfId="12" priority="23" stopIfTrue="1" operator="equal">
      <formula>"1"</formula>
    </cfRule>
  </conditionalFormatting>
  <conditionalFormatting sqref="A49:AI49">
    <cfRule type="cellIs" dxfId="11" priority="20" stopIfTrue="1" operator="equal">
      <formula>0</formula>
    </cfRule>
    <cfRule type="cellIs" dxfId="10" priority="21" stopIfTrue="1" operator="equal">
      <formula>"1"</formula>
    </cfRule>
  </conditionalFormatting>
  <conditionalFormatting sqref="A61:AI61">
    <cfRule type="cellIs" dxfId="9" priority="18" stopIfTrue="1" operator="equal">
      <formula>0</formula>
    </cfRule>
    <cfRule type="cellIs" dxfId="8" priority="19" stopIfTrue="1" operator="equal">
      <formula>"1"</formula>
    </cfRule>
  </conditionalFormatting>
  <conditionalFormatting sqref="A115:W115">
    <cfRule type="expression" dxfId="7" priority="11" stopIfTrue="1">
      <formula>$D$11&lt;&gt;0</formula>
    </cfRule>
  </conditionalFormatting>
  <conditionalFormatting sqref="K157:K159 K130:K153 G130:G153 G157:G159">
    <cfRule type="cellIs" dxfId="6" priority="12" stopIfTrue="1" operator="equal">
      <formula>"R"</formula>
    </cfRule>
    <cfRule type="cellIs" dxfId="5" priority="13" stopIfTrue="1" operator="equal">
      <formula>"A"</formula>
    </cfRule>
    <cfRule type="cellIs" dxfId="4" priority="14" stopIfTrue="1" operator="equal">
      <formula>"C"</formula>
    </cfRule>
  </conditionalFormatting>
  <conditionalFormatting sqref="H126:I127 H118:I124 F118:F127">
    <cfRule type="expression" dxfId="3" priority="10" stopIfTrue="1">
      <formula>$T$50&lt;&gt;0</formula>
    </cfRule>
  </conditionalFormatting>
  <conditionalFormatting sqref="G76:J77">
    <cfRule type="cellIs" dxfId="2" priority="1" stopIfTrue="1" operator="equal">
      <formula>"R"</formula>
    </cfRule>
    <cfRule type="cellIs" dxfId="1" priority="2" stopIfTrue="1" operator="equal">
      <formula>"A"</formula>
    </cfRule>
    <cfRule type="cellIs" dxfId="0" priority="3" stopIfTrue="1" operator="equal">
      <formula>"C"</formula>
    </cfRule>
  </conditionalFormatting>
  <dataValidations count="1">
    <dataValidation allowBlank="1" promptTitle="Tipo de Iniciativa" prompt="Indique el tipo de iniciativa de acuerdo al entendimiento del resultado que requiere el usuario._x000a_" sqref="E12:E14" xr:uid="{00000000-0002-0000-0000-000000000000}"/>
  </dataValidations>
  <hyperlinks>
    <hyperlink ref="F42" r:id="rId1" xr:uid="{00000000-0004-0000-0000-000000000000}"/>
  </hyperlinks>
  <pageMargins left="0.75" right="0.75" top="0.69" bottom="1" header="0" footer="0"/>
  <pageSetup scale="40" orientation="landscape" r:id="rId2"/>
  <headerFooter alignWithMargins="0"/>
  <rowBreaks count="1" manualBreakCount="1">
    <brk id="82" max="34" man="1"/>
  </rowBreaks>
  <ignoredErrors>
    <ignoredError sqref="H26:H27 J26" unlockedFormula="1"/>
  </ignoredErrors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A1E6DE622C57F4E86AB36831EBE367A" ma:contentTypeVersion="12" ma:contentTypeDescription="Create a new document." ma:contentTypeScope="" ma:versionID="7bd16d967443eb9a6b0746b2da5282c3">
  <xsd:schema xmlns:xsd="http://www.w3.org/2001/XMLSchema" xmlns:xs="http://www.w3.org/2001/XMLSchema" xmlns:p="http://schemas.microsoft.com/office/2006/metadata/properties" xmlns:ns2="64b9a058-334f-40a1-901a-541ade95ebf4" xmlns:ns3="c8277a21-d06c-45e9-be32-f6f8e0bb0775" targetNamespace="http://schemas.microsoft.com/office/2006/metadata/properties" ma:root="true" ma:fieldsID="afd601b1092889d6d7ad8f2f4844b9df" ns2:_="" ns3:_="">
    <xsd:import namespace="64b9a058-334f-40a1-901a-541ade95ebf4"/>
    <xsd:import namespace="c8277a21-d06c-45e9-be32-f6f8e0bb0775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b9a058-334f-40a1-901a-541ade95ebf4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2b61bc0c-9156-412f-b605-57ff87b11ec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277a21-d06c-45e9-be32-f6f8e0bb0775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0bc07caf-e6fa-4564-b37b-7e6bf6069fac}" ma:internalName="TaxCatchAll" ma:showField="CatchAllData" ma:web="c8277a21-d06c-45e9-be32-f6f8e0bb077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4b9a058-334f-40a1-901a-541ade95ebf4">
      <Terms xmlns="http://schemas.microsoft.com/office/infopath/2007/PartnerControls"/>
    </lcf76f155ced4ddcb4097134ff3c332f>
    <ReferenceId xmlns="64b9a058-334f-40a1-901a-541ade95ebf4" xsi:nil="true"/>
    <TaxCatchAll xmlns="c8277a21-d06c-45e9-be32-f6f8e0bb077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013919-36D6-49DD-9DCE-73F17FB9C6F3}"/>
</file>

<file path=customXml/itemProps2.xml><?xml version="1.0" encoding="utf-8"?>
<ds:datastoreItem xmlns:ds="http://schemas.openxmlformats.org/officeDocument/2006/customXml" ds:itemID="{682E4A96-C790-4E63-8AF5-8DE38AFECF0B}"/>
</file>

<file path=customXml/itemProps3.xml><?xml version="1.0" encoding="utf-8"?>
<ds:datastoreItem xmlns:ds="http://schemas.openxmlformats.org/officeDocument/2006/customXml" ds:itemID="{809E4ECB-23DA-4697-BDAB-E877677BC87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Advisicon</dc:creator>
  <cp:keywords/>
  <dc:description/>
  <cp:lastModifiedBy/>
  <cp:revision/>
  <dcterms:created xsi:type="dcterms:W3CDTF">2009-08-10T19:10:06Z</dcterms:created>
  <dcterms:modified xsi:type="dcterms:W3CDTF">2026-05-11T22:27:22Z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0x0101002A1E6DE622C57F4E86AB36831EBE367A</vt:lpwstr>
  </property>
</Properties>
</file>