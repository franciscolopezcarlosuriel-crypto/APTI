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ctrlProps/ctrlProp9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2.xml" ContentType="application/vnd.openxmlformats-officedocument.spreadsheetml.table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cio\Desktop\CIC_MIGUEL TORRES\ENTREGABLES DEL CURSO\PLANEACION\"/>
    </mc:Choice>
  </mc:AlternateContent>
  <xr:revisionPtr revIDLastSave="0" documentId="13_ncr:1_{A19E5984-BA76-4872-8965-0DCA1D900EE5}" xr6:coauthVersionLast="47" xr6:coauthVersionMax="47" xr10:uidLastSave="{00000000-0000-0000-0000-000000000000}"/>
  <bookViews>
    <workbookView xWindow="-110" yWindow="-110" windowWidth="19420" windowHeight="10300" tabRatio="706" firstSheet="1" activeTab="5" xr2:uid="{00000000-000D-0000-FFFF-FFFF00000000}"/>
  </bookViews>
  <sheets>
    <sheet name="Menú" sheetId="1" r:id="rId1"/>
    <sheet name="Captura de Riesgos" sheetId="2" r:id="rId2"/>
    <sheet name="Análisis Cualitativo" sheetId="3" r:id="rId3"/>
    <sheet name="Análisis Cuantitativo" sheetId="4" r:id="rId4"/>
    <sheet name="Resumen y Plan de Acción" sheetId="5" r:id="rId5"/>
    <sheet name="Estrategias Sugeridas" sheetId="6" r:id="rId6"/>
  </sheets>
  <definedNames>
    <definedName name="AnalisisAplicado" comment="Tipo de Análisis Aplicado al Riesgo">Menú!$E$1:$E$3</definedName>
    <definedName name="CategoriaRiesgo" comment="Categorías de Riesgo predeterminadas">Menú!$B$1:$B$13</definedName>
    <definedName name="Escala1" comment="Escala del 0 al 5">Menú!$I$1:$I$6</definedName>
    <definedName name="Escala2" comment="Escala del 1 al 5">Menú!$J$1:$J$5</definedName>
    <definedName name="Estatus" comment="Estatus del Riesgo">Menú!$G$1:$G$3</definedName>
    <definedName name="Inicializado" comment="Bandera de inicialización de la Captura de riesgos">'Captura de Riesgos'!$A$1</definedName>
    <definedName name="NumRiesgos" comment="Número de riesgos abiertos en el archivo">'Captura de Riesgos'!$B$1</definedName>
    <definedName name="Prioridad" comment="Prioridad del Riesgo">Menú!$H$1:$H$3</definedName>
    <definedName name="Respuesta" comment="Respuesta al Riesgo">Menú!$F$1:$F$4</definedName>
    <definedName name="Riesgos" comment="Lista de Riesgos">'Captura de Riesgos'!$D$9:$D$108</definedName>
    <definedName name="TipoAnalisis" comment="Tipo de Análisis Cuantitativo Realizado">Menú!$D$1:$D$3</definedName>
    <definedName name="TipoRiesgo" comment="Tipos de Riesgo predeterminados">Menú!$C$1:$C$3</definedName>
    <definedName name="ZonaAnalisis" comment="Zona de Riesgos para Análisis Cuantiativo">'Análisis Cuantitativo'!$9:$108</definedName>
    <definedName name="ZonaResumen" comment="Zona de Riesgos para Resumen y Plan de Acción">'Resumen y Plan de Acción'!$9:$108</definedName>
    <definedName name="ZonaRiesgos" comment="Zona de Captura de Riesgos">'Captura de Riesgos'!$9:$108</definedName>
  </definedNames>
  <calcPr calcId="191029"/>
  <customWorkbookViews>
    <customWorkbookView name="Normal" guid="{FEB78FA3-F76F-466D-975D-34D65117687E}" includePrintSettings="0" includeHiddenRowCol="0" xWindow="7" yWindow="27" windowWidth="978" windowHeight="739" activeSheetId="1"/>
  </customWorkbookViews>
</workbook>
</file>

<file path=xl/calcChain.xml><?xml version="1.0" encoding="utf-8"?>
<calcChain xmlns="http://schemas.openxmlformats.org/spreadsheetml/2006/main">
  <c r="D4" i="5" l="1"/>
  <c r="D3" i="4"/>
  <c r="D3" i="3"/>
  <c r="G8" i="3"/>
  <c r="G9" i="3"/>
  <c r="G10" i="3"/>
  <c r="G11" i="3"/>
  <c r="G12" i="3"/>
  <c r="G13" i="3"/>
  <c r="G14" i="3"/>
  <c r="G15" i="3"/>
  <c r="G16" i="3"/>
  <c r="G7" i="3"/>
  <c r="C108" i="5" l="1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</calcChain>
</file>

<file path=xl/sharedStrings.xml><?xml version="1.0" encoding="utf-8"?>
<sst xmlns="http://schemas.openxmlformats.org/spreadsheetml/2006/main" count="106" uniqueCount="83">
  <si>
    <t>ID</t>
  </si>
  <si>
    <t>Fecha de registro</t>
  </si>
  <si>
    <t>Descripción del Riesgo</t>
  </si>
  <si>
    <t>Tipo de riesgo</t>
  </si>
  <si>
    <t>Categoría a la que pertenece</t>
  </si>
  <si>
    <t>Plan de Administración de Riesgos</t>
  </si>
  <si>
    <t>Ingrese la descripción del riesgo, fecha de identificación y la categoría a la que pertenece.</t>
  </si>
  <si>
    <t>Técnicos</t>
  </si>
  <si>
    <t>Calidad</t>
  </si>
  <si>
    <t>Desempeño</t>
  </si>
  <si>
    <t>Administración del proyecto</t>
  </si>
  <si>
    <t>Organizacionales</t>
  </si>
  <si>
    <t>Externos</t>
  </si>
  <si>
    <t>Recursos</t>
  </si>
  <si>
    <t>Presupuesto</t>
  </si>
  <si>
    <t>Complejidad del proyecto</t>
  </si>
  <si>
    <t>Culturales</t>
  </si>
  <si>
    <t>Legales</t>
  </si>
  <si>
    <t>Calendario</t>
  </si>
  <si>
    <t>Proveedores</t>
  </si>
  <si>
    <t>Primario</t>
  </si>
  <si>
    <t>Secundario</t>
  </si>
  <si>
    <t>Residual</t>
  </si>
  <si>
    <t>Análisis Cualitativo de Riesgos</t>
  </si>
  <si>
    <t>Riesgo</t>
  </si>
  <si>
    <t>Estrategia de Administración de Riesgos (Definir):</t>
  </si>
  <si>
    <t>Plan del proyecto y plan de la calidad</t>
  </si>
  <si>
    <t>Plan del proyecto y plan de reportes</t>
  </si>
  <si>
    <t>Plan de la calidad</t>
  </si>
  <si>
    <t>Reuniones de proyecto semanales</t>
  </si>
  <si>
    <t>Comité de dirección, plan de administración del proyecto, programa de capacitación</t>
  </si>
  <si>
    <t>Comité de dirección</t>
  </si>
  <si>
    <t>Comité de dirección y programa de capacitación</t>
  </si>
  <si>
    <t>Plan de calidad, arqutectura de los productos a integrar y experiencia del proveedor</t>
  </si>
  <si>
    <t>Tipo de Análisis Cuantitativo Realizado</t>
  </si>
  <si>
    <t>Archivo Adjunto del Análisis Cuantitativo del Riesgo</t>
  </si>
  <si>
    <t>Comentarios</t>
  </si>
  <si>
    <t>Método Monte Carlo</t>
  </si>
  <si>
    <t>Análisis de sensibilidad</t>
  </si>
  <si>
    <t>Diagrama de árbol para toma de decisiones</t>
  </si>
  <si>
    <t>Tipo de Análisis Aplicado al Riesgo</t>
  </si>
  <si>
    <t>Respuesta al Riesgo</t>
  </si>
  <si>
    <t>Estatus del Riesgo</t>
  </si>
  <si>
    <t>Prioridad del Riesgo</t>
  </si>
  <si>
    <t>Detonador del Riesgo</t>
  </si>
  <si>
    <t>Contingencia al Riesgo</t>
  </si>
  <si>
    <t>Plan de Acción</t>
  </si>
  <si>
    <t>Responsable</t>
  </si>
  <si>
    <t>Cuantitativo</t>
  </si>
  <si>
    <t>Cualitativo</t>
  </si>
  <si>
    <t>Ambos</t>
  </si>
  <si>
    <t>Evitar</t>
  </si>
  <si>
    <t>Mitigar</t>
  </si>
  <si>
    <t>Aceptar</t>
  </si>
  <si>
    <t>Transferir</t>
  </si>
  <si>
    <t>Activo</t>
  </si>
  <si>
    <t>Diferido</t>
  </si>
  <si>
    <t>Cerrado</t>
  </si>
  <si>
    <t>Alta</t>
  </si>
  <si>
    <t>Media</t>
  </si>
  <si>
    <t>Baja</t>
  </si>
  <si>
    <t>Resumen y Plan de Acción del Análisis de Riesgos</t>
  </si>
  <si>
    <t>Impacto del Riesgo</t>
  </si>
  <si>
    <t>Probabilidad de Ocurrir</t>
  </si>
  <si>
    <t>Advertencia Avanzada</t>
  </si>
  <si>
    <t>Exposición al Riesgo</t>
  </si>
  <si>
    <t xml:space="preserve">Proyecto:   </t>
  </si>
  <si>
    <t xml:space="preserve">Estrategias Sugeridas (Directrices) </t>
  </si>
  <si>
    <t>de Administración de Riesgos para la TIC</t>
  </si>
  <si>
    <t>Estructura de procesos, calidad del proceso, juntas periódicas</t>
  </si>
  <si>
    <t>Estructura del proyecto o programa</t>
  </si>
  <si>
    <t>Capacitación continua y actualizaciones al persona</t>
  </si>
  <si>
    <t>Oportunidades y necesidades del negocio</t>
  </si>
  <si>
    <t>Administrador del servicio, oportunidades y necesidades del negocio</t>
  </si>
  <si>
    <t>Error humano</t>
  </si>
  <si>
    <t>No se cuenta con un análisis documentado</t>
  </si>
  <si>
    <t>Falta supervisión</t>
  </si>
  <si>
    <t>No se cuenta con ningún plan</t>
  </si>
  <si>
    <t>Plan de recuperación</t>
  </si>
  <si>
    <t>Rocío Palacios</t>
  </si>
  <si>
    <t>realizar acciones de supervisión o revisión</t>
  </si>
  <si>
    <t>Enfermedad</t>
  </si>
  <si>
    <t>Sismo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</si>
</sst>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1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1" fillId="0" borderId="2" xfId="0" applyFont="1" applyBorder="1" applyAlignment="1">
      <alignment horizontal="center" textRotation="60"/>
    </xf>
    <xf numFmtId="0" fontId="1" fillId="0" borderId="2" xfId="0" applyFont="1" applyBorder="1" applyAlignment="1">
      <alignment horizontal="center"/>
    </xf>
    <xf numFmtId="0" fontId="5" fillId="0" borderId="0" xfId="0" applyFont="1"/>
    <xf numFmtId="0" fontId="6" fillId="0" borderId="0" xfId="0" applyFont="1" applyProtection="1"/>
    <xf numFmtId="0" fontId="6" fillId="0" borderId="0" xfId="0" applyFont="1" applyAlignment="1" applyProtection="1">
      <alignment horizontal="center" vertical="center" wrapText="1"/>
    </xf>
    <xf numFmtId="0" fontId="1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0" fillId="0" borderId="1" xfId="0" applyBorder="1" applyAlignment="1">
      <alignment wrapText="1"/>
    </xf>
    <xf numFmtId="0" fontId="0" fillId="0" borderId="0" xfId="0" applyBorder="1" applyAlignment="1">
      <alignment horizontal="center" vertical="center" wrapText="1"/>
    </xf>
    <xf numFmtId="14" fontId="0" fillId="0" borderId="0" xfId="0" applyNumberForma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60" wrapText="0" relative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'Análisis Cualitativo'!$C$7</c:f>
              <c:strCache>
                <c:ptCount val="1"/>
                <c:pt idx="0">
                  <c:v>Error humano</c:v>
                </c:pt>
              </c:strCache>
            </c:strRef>
          </c:tx>
          <c:invertIfNegative val="0"/>
          <c:xVal>
            <c:numRef>
              <c:f>'Análisis Cualitativo'!$F$7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'Análisis Cualitativo'!$E$7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bubbleSize>
            <c:numRef>
              <c:f>'Análisis Cualitativo'!$D$7</c:f>
              <c:numCache>
                <c:formatCode>General</c:formatCode>
                <c:ptCount val="1"/>
                <c:pt idx="0">
                  <c:v>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401E-4A0F-B800-56A41198D723}"/>
            </c:ext>
          </c:extLst>
        </c:ser>
        <c:ser>
          <c:idx val="1"/>
          <c:order val="1"/>
          <c:tx>
            <c:strRef>
              <c:f>'Análisis Cualitativo'!$C$8</c:f>
              <c:strCache>
                <c:ptCount val="1"/>
              </c:strCache>
            </c:strRef>
          </c:tx>
          <c:invertIfNegative val="0"/>
          <c:xVal>
            <c:numRef>
              <c:f>'Análisis Cualitativo'!$F$8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Cualitativo'!$E$8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Cualitativo'!$D$8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401E-4A0F-B800-56A41198D723}"/>
            </c:ext>
          </c:extLst>
        </c:ser>
        <c:ser>
          <c:idx val="2"/>
          <c:order val="2"/>
          <c:tx>
            <c:strRef>
              <c:f>'Análisis Cualitativo'!$C$9</c:f>
              <c:strCache>
                <c:ptCount val="1"/>
              </c:strCache>
            </c:strRef>
          </c:tx>
          <c:invertIfNegative val="0"/>
          <c:xVal>
            <c:numRef>
              <c:f>'Análisis Cualitativo'!$F$9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Cualitativo'!$E$9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Cualitativo'!$D$9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401E-4A0F-B800-56A41198D723}"/>
            </c:ext>
          </c:extLst>
        </c:ser>
        <c:ser>
          <c:idx val="3"/>
          <c:order val="3"/>
          <c:tx>
            <c:strRef>
              <c:f>'Análisis Cualitativo'!$C$10</c:f>
              <c:strCache>
                <c:ptCount val="1"/>
              </c:strCache>
            </c:strRef>
          </c:tx>
          <c:invertIfNegative val="0"/>
          <c:xVal>
            <c:numRef>
              <c:f>'Análisis Cualitativo'!$F$10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Cualitativo'!$E$10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Cualitativo'!$D$10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401E-4A0F-B800-56A41198D723}"/>
            </c:ext>
          </c:extLst>
        </c:ser>
        <c:ser>
          <c:idx val="4"/>
          <c:order val="4"/>
          <c:tx>
            <c:strRef>
              <c:f>'Análisis Cualitativo'!$C$11</c:f>
              <c:strCache>
                <c:ptCount val="1"/>
              </c:strCache>
            </c:strRef>
          </c:tx>
          <c:invertIfNegative val="0"/>
          <c:xVal>
            <c:numRef>
              <c:f>'Análisis Cualitativo'!$F$11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Cualitativo'!$E$11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Cualitativo'!$D$11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401E-4A0F-B800-56A41198D723}"/>
            </c:ext>
          </c:extLst>
        </c:ser>
        <c:ser>
          <c:idx val="5"/>
          <c:order val="5"/>
          <c:tx>
            <c:strRef>
              <c:f>'Análisis Cualitativo'!$C$12</c:f>
              <c:strCache>
                <c:ptCount val="1"/>
              </c:strCache>
            </c:strRef>
          </c:tx>
          <c:invertIfNegative val="0"/>
          <c:xVal>
            <c:numRef>
              <c:f>'Análisis Cualitativo'!$F$12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Cualitativo'!$E$12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Cualitativo'!$D$12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401E-4A0F-B800-56A41198D723}"/>
            </c:ext>
          </c:extLst>
        </c:ser>
        <c:ser>
          <c:idx val="6"/>
          <c:order val="6"/>
          <c:tx>
            <c:strRef>
              <c:f>'Análisis Cualitativo'!$C$13</c:f>
              <c:strCache>
                <c:ptCount val="1"/>
              </c:strCache>
            </c:strRef>
          </c:tx>
          <c:invertIfNegative val="0"/>
          <c:xVal>
            <c:numRef>
              <c:f>'Análisis Cualitativo'!$F$13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Cualitativo'!$E$13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Cualitativo'!$D$13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6-401E-4A0F-B800-56A41198D723}"/>
            </c:ext>
          </c:extLst>
        </c:ser>
        <c:ser>
          <c:idx val="7"/>
          <c:order val="7"/>
          <c:tx>
            <c:strRef>
              <c:f>'Análisis Cualitativo'!$C$14</c:f>
              <c:strCache>
                <c:ptCount val="1"/>
              </c:strCache>
            </c:strRef>
          </c:tx>
          <c:invertIfNegative val="0"/>
          <c:xVal>
            <c:numRef>
              <c:f>'Análisis Cualitativo'!$F$14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Cualitativo'!$E$14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Cualitativo'!$D$14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401E-4A0F-B800-56A41198D723}"/>
            </c:ext>
          </c:extLst>
        </c:ser>
        <c:ser>
          <c:idx val="8"/>
          <c:order val="8"/>
          <c:tx>
            <c:strRef>
              <c:f>'Análisis Cualitativo'!$C$15</c:f>
              <c:strCache>
                <c:ptCount val="1"/>
              </c:strCache>
            </c:strRef>
          </c:tx>
          <c:invertIfNegative val="0"/>
          <c:xVal>
            <c:numRef>
              <c:f>'Análisis Cualitativo'!$F$15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Cualitativo'!$E$15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Cualitativo'!$D$15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8-401E-4A0F-B800-56A41198D723}"/>
            </c:ext>
          </c:extLst>
        </c:ser>
        <c:ser>
          <c:idx val="9"/>
          <c:order val="9"/>
          <c:tx>
            <c:strRef>
              <c:f>'Análisis Cualitativo'!$C$16</c:f>
              <c:strCache>
                <c:ptCount val="1"/>
              </c:strCache>
            </c:strRef>
          </c:tx>
          <c:invertIfNegative val="0"/>
          <c:xVal>
            <c:numRef>
              <c:f>'Análisis Cualitativo'!$F$16</c:f>
              <c:numCache>
                <c:formatCode>General</c:formatCode>
                <c:ptCount val="1"/>
              </c:numCache>
            </c:numRef>
          </c:xVal>
          <c:yVal>
            <c:numRef>
              <c:f>'Análisis Cualitativo'!$E$16</c:f>
              <c:numCache>
                <c:formatCode>General</c:formatCode>
                <c:ptCount val="1"/>
              </c:numCache>
            </c:numRef>
          </c:yVal>
          <c:bubbleSize>
            <c:numRef>
              <c:f>'Análisis Cualitativo'!$D$16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9-401E-4A0F-B800-56A41198D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26410752"/>
        <c:axId val="126412672"/>
      </c:bubbleChart>
      <c:valAx>
        <c:axId val="126410752"/>
        <c:scaling>
          <c:orientation val="minMax"/>
          <c:max val="6"/>
          <c:min val="0"/>
        </c:scaling>
        <c:delete val="0"/>
        <c:axPos val="b"/>
        <c:majorGridlines>
          <c:spPr>
            <a:ln cap="rnd"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Baja		Advertencia avanzada		Alta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12672"/>
        <c:crosses val="max"/>
        <c:crossBetween val="midCat"/>
        <c:majorUnit val="1"/>
        <c:minorUnit val="0.2"/>
      </c:valAx>
      <c:valAx>
        <c:axId val="126412672"/>
        <c:scaling>
          <c:orientation val="maxMin"/>
          <c:max val="6"/>
        </c:scaling>
        <c:delete val="0"/>
        <c:axPos val="l"/>
        <c:majorGridlines>
          <c:spPr>
            <a:ln>
              <a:solidFill>
                <a:srgbClr val="000000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/>
                  <a:t>Alta	Probabilidad de Ocurrir	Baja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10752"/>
        <c:crossesAt val="0"/>
        <c:crossBetween val="midCat"/>
      </c:valAx>
      <c:spPr>
        <a:blipFill dpi="0" rotWithShape="1">
          <a:blip xmlns:r="http://schemas.openxmlformats.org/officeDocument/2006/relationships" r:embed="rId1">
            <a:alphaModFix amt="63000"/>
          </a:blip>
          <a:srcRect/>
          <a:stretch>
            <a:fillRect/>
          </a:stretch>
        </a:blipFill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5</xdr:row>
          <xdr:rowOff>12700</xdr:rowOff>
        </xdr:from>
        <xdr:to>
          <xdr:col>6</xdr:col>
          <xdr:colOff>723900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Captura de Riesgos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7</xdr:row>
          <xdr:rowOff>12700</xdr:rowOff>
        </xdr:from>
        <xdr:to>
          <xdr:col>6</xdr:col>
          <xdr:colOff>723900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Cualitativo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9</xdr:row>
          <xdr:rowOff>0</xdr:rowOff>
        </xdr:from>
        <xdr:to>
          <xdr:col>6</xdr:col>
          <xdr:colOff>723900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Análisis Cuantitativo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10</xdr:row>
          <xdr:rowOff>171450</xdr:rowOff>
        </xdr:from>
        <xdr:to>
          <xdr:col>6</xdr:col>
          <xdr:colOff>723900</xdr:colOff>
          <xdr:row>12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Resumen y</a:t>
              </a:r>
            </a:p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Plan de 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12</xdr:row>
          <xdr:rowOff>165100</xdr:rowOff>
        </xdr:from>
        <xdr:to>
          <xdr:col>6</xdr:col>
          <xdr:colOff>723900</xdr:colOff>
          <xdr:row>14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Estrategias Sugeridas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298450</xdr:colOff>
          <xdr:row>4</xdr:row>
          <xdr:rowOff>19050</xdr:rowOff>
        </xdr:from>
        <xdr:to>
          <xdr:col>5</xdr:col>
          <xdr:colOff>1022350</xdr:colOff>
          <xdr:row>5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933450</xdr:colOff>
          <xdr:row>5</xdr:row>
          <xdr:rowOff>146050</xdr:rowOff>
        </xdr:from>
        <xdr:to>
          <xdr:col>6</xdr:col>
          <xdr:colOff>0</xdr:colOff>
          <xdr:row>6</xdr:row>
          <xdr:rowOff>165100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Cambiar número de Riesgos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17</xdr:row>
      <xdr:rowOff>123825</xdr:rowOff>
    </xdr:from>
    <xdr:to>
      <xdr:col>6</xdr:col>
      <xdr:colOff>2600324</xdr:colOff>
      <xdr:row>30</xdr:row>
      <xdr:rowOff>1952625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133350</xdr:colOff>
      <xdr:row>16</xdr:row>
      <xdr:rowOff>38100</xdr:rowOff>
    </xdr:from>
    <xdr:ext cx="3531993" cy="264560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47650" y="4352925"/>
          <a:ext cx="35319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1100"/>
            <a:t>El Tamaño de la Burbuja representa la magnitud del riesgo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1917700</xdr:colOff>
          <xdr:row>3</xdr:row>
          <xdr:rowOff>95250</xdr:rowOff>
        </xdr:from>
        <xdr:to>
          <xdr:col>6</xdr:col>
          <xdr:colOff>2641600</xdr:colOff>
          <xdr:row>4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2114550</xdr:colOff>
          <xdr:row>5</xdr:row>
          <xdr:rowOff>95250</xdr:rowOff>
        </xdr:from>
        <xdr:to>
          <xdr:col>6</xdr:col>
          <xdr:colOff>0</xdr:colOff>
          <xdr:row>6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222250</xdr:colOff>
          <xdr:row>5</xdr:row>
          <xdr:rowOff>38100</xdr:rowOff>
        </xdr:from>
        <xdr:to>
          <xdr:col>10</xdr:col>
          <xdr:colOff>946150</xdr:colOff>
          <xdr:row>6</xdr:row>
          <xdr:rowOff>95250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4343400</xdr:colOff>
          <xdr:row>5</xdr:row>
          <xdr:rowOff>88900</xdr:rowOff>
        </xdr:from>
        <xdr:to>
          <xdr:col>2</xdr:col>
          <xdr:colOff>5067300</xdr:colOff>
          <xdr:row>6</xdr:row>
          <xdr:rowOff>146050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Menú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4" displayName="Tabla4" ref="B8:F108" totalsRowShown="0" headerRowDxfId="17">
  <tableColumns count="5">
    <tableColumn id="1" xr3:uid="{00000000-0010-0000-0000-000001000000}" name="ID" dataDxfId="16"/>
    <tableColumn id="2" xr3:uid="{00000000-0010-0000-0000-000002000000}" name="Fecha de registro" dataDxfId="15"/>
    <tableColumn id="3" xr3:uid="{00000000-0010-0000-0000-000003000000}" name="Descripción del Riesgo" dataDxfId="14"/>
    <tableColumn id="4" xr3:uid="{00000000-0010-0000-0000-000004000000}" name="Categoría a la que pertenece" dataDxfId="13"/>
    <tableColumn id="5" xr3:uid="{00000000-0010-0000-0000-000005000000}" name="Tipo de riesgo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a5" displayName="Tabla5" ref="B6:G16" totalsRowShown="0" headerRowDxfId="11">
  <tableColumns count="6">
    <tableColumn id="1" xr3:uid="{00000000-0010-0000-0100-000001000000}" name="ID" dataDxfId="10"/>
    <tableColumn id="2" xr3:uid="{00000000-0010-0000-0100-000002000000}" name="Descripción del Riesgo" dataDxfId="9"/>
    <tableColumn id="3" xr3:uid="{00000000-0010-0000-0100-000003000000}" name="Impacto del Riesgo" dataDxfId="8"/>
    <tableColumn id="4" xr3:uid="{00000000-0010-0000-0100-000004000000}" name="Probabilidad de Ocurrir" dataDxfId="7"/>
    <tableColumn id="5" xr3:uid="{00000000-0010-0000-0100-000005000000}" name="Advertencia Avanzada" dataDxfId="6"/>
    <tableColumn id="6" xr3:uid="{00000000-0010-0000-0100-000006000000}" name="Exposición al Riesgo" dataDxfId="5">
      <calculatedColumnFormula>IF(AND(D7&lt;&gt;"",E7&lt;&gt;""),D7*E7,"")</calculatedColumnFormula>
    </tableColumn>
  </tableColumns>
  <tableStyleInfo name="TableStyleMedium2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2" displayName="Tabla2" ref="B8:F108" totalsRowShown="0" headerRowDxfId="4">
  <tableColumns count="5">
    <tableColumn id="1" xr3:uid="{00000000-0010-0000-0200-000001000000}" name="ID" dataDxfId="3"/>
    <tableColumn id="2" xr3:uid="{00000000-0010-0000-0200-000002000000}" name="Descripción del Riesgo">
      <calculatedColumnFormula>IF('Captura de Riesgos'!D9="","",'Captura de Riesgos'!D9)</calculatedColumnFormula>
    </tableColumn>
    <tableColumn id="3" xr3:uid="{00000000-0010-0000-0200-000003000000}" name="Tipo de Análisis Cuantitativo Realizado"/>
    <tableColumn id="4" xr3:uid="{00000000-0010-0000-0200-000004000000}" name="Archivo Adjunto del Análisis Cuantitativo del Riesgo"/>
    <tableColumn id="5" xr3:uid="{00000000-0010-0000-0200-000005000000}" name="Comentarios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3" displayName="Tabla3" ref="B8:K108" totalsRowShown="0" headerRowDxfId="2">
  <tableColumns count="10">
    <tableColumn id="1" xr3:uid="{00000000-0010-0000-0300-000001000000}" name="ID" dataDxfId="1"/>
    <tableColumn id="2" xr3:uid="{00000000-0010-0000-0300-000002000000}" name="Descripción del Riesgo">
      <calculatedColumnFormula>IF('Captura de Riesgos'!D9="","",'Captura de Riesgos'!D9)</calculatedColumnFormula>
    </tableColumn>
    <tableColumn id="3" xr3:uid="{00000000-0010-0000-0300-000003000000}" name="Tipo de Análisis Aplicado al Riesgo"/>
    <tableColumn id="4" xr3:uid="{00000000-0010-0000-0300-000004000000}" name="Respuesta al Riesgo"/>
    <tableColumn id="5" xr3:uid="{00000000-0010-0000-0300-000005000000}" name="Estatus del Riesgo"/>
    <tableColumn id="6" xr3:uid="{00000000-0010-0000-0300-000006000000}" name="Prioridad del Riesgo"/>
    <tableColumn id="7" xr3:uid="{00000000-0010-0000-0300-000007000000}" name="Detonador del Riesgo"/>
    <tableColumn id="8" xr3:uid="{00000000-0010-0000-0300-000008000000}" name="Contingencia al Riesgo"/>
    <tableColumn id="9" xr3:uid="{00000000-0010-0000-0300-000009000000}" name="Plan de Acción"/>
    <tableColumn id="10" xr3:uid="{00000000-0010-0000-0300-00000A000000}" name="Responsable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a1" displayName="Tabla1" ref="B8:C26" totalsRowShown="0" headerRowDxfId="0">
  <tableColumns count="2">
    <tableColumn id="1" xr3:uid="{00000000-0010-0000-0400-000001000000}" name="Riesgo"/>
    <tableColumn id="2" xr3:uid="{00000000-0010-0000-0400-000002000000}" name="Estrategia de Administración de Riesgos (Definir):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5"/>
  </sheetPr>
  <dimension ref="A1:L24"/>
  <sheetViews>
    <sheetView showGridLines="0" showRowColHeaders="0" topLeftCell="A3" workbookViewId="0"/>
  </sheetViews>
  <sheetFormatPr baseColWidth="10" defaultColWidth="0" defaultRowHeight="14.5" zeroHeight="1" x14ac:dyDescent="0.35"/>
  <cols>
    <col min="1" max="11" width="11.453125" customWidth="1"/>
    <col min="12" max="12" width="6.54296875" customWidth="1"/>
    <col min="13" max="16384" width="11.453125" hidden="1"/>
  </cols>
  <sheetData>
    <row r="1" spans="1:12" ht="25" x14ac:dyDescent="0.35">
      <c r="A1" s="15">
        <v>1</v>
      </c>
      <c r="B1" s="16" t="s">
        <v>7</v>
      </c>
      <c r="C1" s="16" t="s">
        <v>20</v>
      </c>
      <c r="D1" s="17" t="s">
        <v>38</v>
      </c>
      <c r="E1" s="15" t="s">
        <v>49</v>
      </c>
      <c r="F1" s="15" t="s">
        <v>51</v>
      </c>
      <c r="G1" s="15" t="s">
        <v>55</v>
      </c>
      <c r="H1" s="15" t="s">
        <v>58</v>
      </c>
      <c r="I1" s="15">
        <v>0</v>
      </c>
      <c r="J1" s="15">
        <v>1</v>
      </c>
      <c r="K1" s="15"/>
      <c r="L1" s="15"/>
    </row>
    <row r="2" spans="1:12" ht="50" x14ac:dyDescent="0.35">
      <c r="A2" s="15"/>
      <c r="B2" s="16" t="s">
        <v>8</v>
      </c>
      <c r="C2" s="16" t="s">
        <v>21</v>
      </c>
      <c r="D2" s="17" t="s">
        <v>39</v>
      </c>
      <c r="E2" s="15" t="s">
        <v>48</v>
      </c>
      <c r="F2" s="15" t="s">
        <v>52</v>
      </c>
      <c r="G2" s="15" t="s">
        <v>56</v>
      </c>
      <c r="H2" s="15" t="s">
        <v>59</v>
      </c>
      <c r="I2" s="15">
        <v>1</v>
      </c>
      <c r="J2" s="15">
        <v>2</v>
      </c>
      <c r="K2" s="15"/>
      <c r="L2" s="15"/>
    </row>
    <row r="3" spans="1:12" ht="25" x14ac:dyDescent="0.35">
      <c r="A3" s="15"/>
      <c r="B3" s="16" t="s">
        <v>9</v>
      </c>
      <c r="C3" s="16" t="s">
        <v>22</v>
      </c>
      <c r="D3" s="17" t="s">
        <v>37</v>
      </c>
      <c r="E3" s="15" t="s">
        <v>50</v>
      </c>
      <c r="F3" s="15" t="s">
        <v>53</v>
      </c>
      <c r="G3" s="15" t="s">
        <v>57</v>
      </c>
      <c r="H3" s="15" t="s">
        <v>60</v>
      </c>
      <c r="I3" s="15">
        <v>2</v>
      </c>
      <c r="J3" s="15">
        <v>3</v>
      </c>
      <c r="K3" s="15"/>
      <c r="L3" s="15"/>
    </row>
    <row r="4" spans="1:12" x14ac:dyDescent="0.35">
      <c r="A4" s="15"/>
      <c r="B4" s="16" t="s">
        <v>10</v>
      </c>
      <c r="C4" s="15"/>
      <c r="D4" s="15"/>
      <c r="E4" s="15"/>
      <c r="F4" s="15" t="s">
        <v>54</v>
      </c>
      <c r="G4" s="15"/>
      <c r="H4" s="15"/>
      <c r="I4" s="15">
        <v>3</v>
      </c>
      <c r="J4" s="15">
        <v>4</v>
      </c>
      <c r="K4" s="15"/>
      <c r="L4" s="15"/>
    </row>
    <row r="5" spans="1:12" x14ac:dyDescent="0.35">
      <c r="A5" s="15"/>
      <c r="B5" s="16" t="s">
        <v>11</v>
      </c>
      <c r="C5" s="15"/>
      <c r="D5" s="15"/>
      <c r="E5" s="15"/>
      <c r="F5" s="15"/>
      <c r="G5" s="15"/>
      <c r="H5" s="15"/>
      <c r="I5" s="15">
        <v>4</v>
      </c>
      <c r="J5" s="15">
        <v>5</v>
      </c>
      <c r="K5" s="15"/>
      <c r="L5" s="15"/>
    </row>
    <row r="6" spans="1:12" x14ac:dyDescent="0.35">
      <c r="A6" s="15"/>
      <c r="B6" s="16" t="s">
        <v>12</v>
      </c>
      <c r="C6" s="15"/>
      <c r="D6" s="15"/>
      <c r="E6" s="15"/>
      <c r="F6" s="15"/>
      <c r="G6" s="15"/>
      <c r="H6" s="15"/>
      <c r="I6" s="15">
        <v>5</v>
      </c>
      <c r="J6" s="15"/>
      <c r="K6" s="15"/>
      <c r="L6" s="15"/>
    </row>
    <row r="7" spans="1:12" x14ac:dyDescent="0.35">
      <c r="A7" s="15"/>
      <c r="B7" s="16" t="s">
        <v>13</v>
      </c>
      <c r="C7" s="15"/>
      <c r="D7" s="15"/>
      <c r="E7" s="15"/>
      <c r="F7" s="15"/>
      <c r="G7" s="15"/>
      <c r="H7" s="15"/>
      <c r="I7" s="15"/>
      <c r="J7" s="15"/>
      <c r="K7" s="15"/>
      <c r="L7" s="15"/>
    </row>
    <row r="8" spans="1:12" x14ac:dyDescent="0.35">
      <c r="A8" s="15"/>
      <c r="B8" s="16" t="s">
        <v>14</v>
      </c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x14ac:dyDescent="0.35">
      <c r="A9" s="15"/>
      <c r="B9" s="16" t="s">
        <v>15</v>
      </c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1:12" x14ac:dyDescent="0.35">
      <c r="A10" s="15"/>
      <c r="B10" s="16" t="s">
        <v>16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</row>
    <row r="11" spans="1:12" x14ac:dyDescent="0.35">
      <c r="A11" s="15"/>
      <c r="B11" s="16" t="s">
        <v>17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1:12" x14ac:dyDescent="0.35">
      <c r="A12" s="15"/>
      <c r="B12" s="16" t="s">
        <v>18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</row>
    <row r="13" spans="1:12" x14ac:dyDescent="0.35">
      <c r="A13" s="15"/>
      <c r="B13" s="16" t="s">
        <v>19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</row>
    <row r="14" spans="1:12" x14ac:dyDescent="0.3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</row>
    <row r="15" spans="1:12" x14ac:dyDescent="0.3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</row>
    <row r="16" spans="1:12" x14ac:dyDescent="0.3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</row>
    <row r="17" spans="1:12" x14ac:dyDescent="0.3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</row>
    <row r="18" spans="1:12" x14ac:dyDescent="0.3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</row>
    <row r="19" spans="1:12" x14ac:dyDescent="0.3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</row>
    <row r="20" spans="1:12" x14ac:dyDescent="0.3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</row>
    <row r="21" spans="1:12" x14ac:dyDescent="0.35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</row>
    <row r="22" spans="1:12" x14ac:dyDescent="0.35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</row>
    <row r="23" spans="1:12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</row>
    <row r="24" spans="1:12" ht="18" customHeight="1" x14ac:dyDescent="0.3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</row>
  </sheetData>
  <customSheetViews>
    <customSheetView guid="{FEB78FA3-F76F-466D-975D-34D65117687E}" showPageBreaks="1" showGridLines="0">
      <selection activeCell="M5" sqref="M5"/>
    </customSheetView>
  </customSheetView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pturaRiesgos">
                <anchor moveWithCells="1" sizeWithCells="1">
                  <from>
                    <xdr:col>4</xdr:col>
                    <xdr:colOff>723900</xdr:colOff>
                    <xdr:row>5</xdr:row>
                    <xdr:rowOff>12700</xdr:rowOff>
                  </from>
                  <to>
                    <xdr:col>6</xdr:col>
                    <xdr:colOff>723900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ualitativo">
                <anchor moveWithCells="1" sizeWithCells="1">
                  <from>
                    <xdr:col>4</xdr:col>
                    <xdr:colOff>723900</xdr:colOff>
                    <xdr:row>7</xdr:row>
                    <xdr:rowOff>12700</xdr:rowOff>
                  </from>
                  <to>
                    <xdr:col>6</xdr:col>
                    <xdr:colOff>723900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uantitativo">
                <anchor moveWithCells="1" sizeWithCells="1">
                  <from>
                    <xdr:col>4</xdr:col>
                    <xdr:colOff>723900</xdr:colOff>
                    <xdr:row>9</xdr:row>
                    <xdr:rowOff>0</xdr:rowOff>
                  </from>
                  <to>
                    <xdr:col>6</xdr:col>
                    <xdr:colOff>723900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lan">
                <anchor moveWithCells="1" sizeWithCells="1">
                  <from>
                    <xdr:col>4</xdr:col>
                    <xdr:colOff>723900</xdr:colOff>
                    <xdr:row>10</xdr:row>
                    <xdr:rowOff>171450</xdr:rowOff>
                  </from>
                  <to>
                    <xdr:col>6</xdr:col>
                    <xdr:colOff>723900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Estrategias">
                <anchor moveWithCells="1" sizeWithCells="1">
                  <from>
                    <xdr:col>4</xdr:col>
                    <xdr:colOff>723900</xdr:colOff>
                    <xdr:row>12</xdr:row>
                    <xdr:rowOff>165100</xdr:rowOff>
                  </from>
                  <to>
                    <xdr:col>6</xdr:col>
                    <xdr:colOff>723900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3"/>
  </sheetPr>
  <dimension ref="A1:G108"/>
  <sheetViews>
    <sheetView showGridLines="0" showRowColHeaders="0" topLeftCell="A5" workbookViewId="0">
      <selection activeCell="F9" sqref="F9"/>
    </sheetView>
  </sheetViews>
  <sheetFormatPr baseColWidth="10" defaultColWidth="0" defaultRowHeight="14.5" zeroHeight="1" x14ac:dyDescent="0.35"/>
  <cols>
    <col min="1" max="1" width="1.7265625" customWidth="1"/>
    <col min="2" max="2" width="8.54296875" customWidth="1"/>
    <col min="3" max="3" width="18.26953125" style="1" customWidth="1"/>
    <col min="4" max="4" width="46.453125" style="1" customWidth="1"/>
    <col min="5" max="5" width="28.453125" style="1" customWidth="1"/>
    <col min="6" max="6" width="15.54296875" style="1" customWidth="1"/>
    <col min="7" max="7" width="1.7265625" customWidth="1"/>
    <col min="8" max="16384" width="11.453125" hidden="1"/>
  </cols>
  <sheetData>
    <row r="1" spans="1:6" x14ac:dyDescent="0.35">
      <c r="A1" s="15">
        <v>1</v>
      </c>
      <c r="B1" s="15">
        <v>15</v>
      </c>
      <c r="C1"/>
      <c r="D1"/>
      <c r="E1"/>
      <c r="F1"/>
    </row>
    <row r="2" spans="1:6" ht="21" x14ac:dyDescent="0.5">
      <c r="C2" s="23" t="s">
        <v>5</v>
      </c>
      <c r="D2" s="23"/>
      <c r="E2" s="23"/>
      <c r="F2" s="23"/>
    </row>
    <row r="3" spans="1:6" ht="18.5" x14ac:dyDescent="0.35">
      <c r="C3" s="18" t="s">
        <v>66</v>
      </c>
      <c r="D3" s="24"/>
      <c r="E3" s="24"/>
      <c r="F3"/>
    </row>
    <row r="4" spans="1:6" x14ac:dyDescent="0.35">
      <c r="C4"/>
      <c r="D4"/>
      <c r="E4"/>
      <c r="F4"/>
    </row>
    <row r="5" spans="1:6" x14ac:dyDescent="0.35">
      <c r="C5"/>
      <c r="D5"/>
      <c r="E5"/>
      <c r="F5"/>
    </row>
    <row r="6" spans="1:6" x14ac:dyDescent="0.35">
      <c r="C6"/>
      <c r="D6"/>
      <c r="E6"/>
      <c r="F6"/>
    </row>
    <row r="7" spans="1:6" x14ac:dyDescent="0.35">
      <c r="B7" s="2" t="s">
        <v>6</v>
      </c>
      <c r="C7"/>
      <c r="D7"/>
      <c r="E7"/>
      <c r="F7"/>
    </row>
    <row r="8" spans="1:6" s="1" customFormat="1" ht="43.5" customHeight="1" x14ac:dyDescent="0.35">
      <c r="B8" s="10" t="s">
        <v>0</v>
      </c>
      <c r="C8" s="10" t="s">
        <v>1</v>
      </c>
      <c r="D8" s="10" t="s">
        <v>2</v>
      </c>
      <c r="E8" s="10" t="s">
        <v>4</v>
      </c>
      <c r="F8" s="10" t="s">
        <v>3</v>
      </c>
    </row>
    <row r="9" spans="1:6" x14ac:dyDescent="0.35">
      <c r="B9" s="8">
        <v>1</v>
      </c>
      <c r="C9" s="22">
        <v>45191</v>
      </c>
      <c r="D9" s="21" t="s">
        <v>74</v>
      </c>
      <c r="E9" s="21" t="s">
        <v>9</v>
      </c>
      <c r="F9" s="21" t="s">
        <v>20</v>
      </c>
    </row>
    <row r="10" spans="1:6" x14ac:dyDescent="0.35">
      <c r="B10" s="8">
        <v>2</v>
      </c>
      <c r="C10" s="21"/>
      <c r="D10" s="21" t="s">
        <v>81</v>
      </c>
      <c r="E10" s="21"/>
      <c r="F10" s="21"/>
    </row>
    <row r="11" spans="1:6" x14ac:dyDescent="0.35">
      <c r="B11" s="8">
        <v>3</v>
      </c>
      <c r="C11" s="21"/>
      <c r="D11" s="21" t="s">
        <v>82</v>
      </c>
      <c r="E11" s="21"/>
      <c r="F11" s="21"/>
    </row>
    <row r="12" spans="1:6" x14ac:dyDescent="0.35">
      <c r="B12" s="8">
        <v>4</v>
      </c>
      <c r="C12" s="21"/>
      <c r="D12" s="21"/>
      <c r="E12" s="21"/>
      <c r="F12" s="21"/>
    </row>
    <row r="13" spans="1:6" x14ac:dyDescent="0.35">
      <c r="B13" s="8">
        <v>5</v>
      </c>
      <c r="C13" s="21"/>
      <c r="D13" s="21"/>
      <c r="E13" s="21"/>
      <c r="F13" s="21"/>
    </row>
    <row r="14" spans="1:6" x14ac:dyDescent="0.35">
      <c r="B14" s="8">
        <v>6</v>
      </c>
      <c r="C14" s="21"/>
      <c r="D14" s="21"/>
      <c r="E14" s="21"/>
      <c r="F14" s="21"/>
    </row>
    <row r="15" spans="1:6" x14ac:dyDescent="0.35">
      <c r="B15" s="8">
        <v>7</v>
      </c>
      <c r="C15" s="21"/>
      <c r="D15" s="21"/>
      <c r="E15" s="21"/>
      <c r="F15" s="21"/>
    </row>
    <row r="16" spans="1:6" x14ac:dyDescent="0.35">
      <c r="B16" s="8">
        <v>8</v>
      </c>
      <c r="C16" s="21"/>
      <c r="D16" s="21"/>
      <c r="E16" s="21"/>
      <c r="F16" s="21"/>
    </row>
    <row r="17" spans="2:6" x14ac:dyDescent="0.35">
      <c r="B17" s="8">
        <v>9</v>
      </c>
      <c r="C17" s="21"/>
      <c r="D17" s="21"/>
      <c r="E17" s="21"/>
      <c r="F17" s="21"/>
    </row>
    <row r="18" spans="2:6" x14ac:dyDescent="0.35">
      <c r="B18" s="8">
        <v>10</v>
      </c>
      <c r="C18" s="21"/>
      <c r="D18" s="21"/>
      <c r="E18" s="21"/>
      <c r="F18" s="21"/>
    </row>
    <row r="19" spans="2:6" x14ac:dyDescent="0.35">
      <c r="B19" s="8">
        <v>11</v>
      </c>
      <c r="C19" s="21"/>
      <c r="D19" s="21"/>
      <c r="E19" s="21"/>
      <c r="F19" s="21"/>
    </row>
    <row r="20" spans="2:6" x14ac:dyDescent="0.35">
      <c r="B20" s="8">
        <v>12</v>
      </c>
      <c r="C20" s="21"/>
      <c r="D20" s="21"/>
      <c r="E20" s="21"/>
      <c r="F20" s="21"/>
    </row>
    <row r="21" spans="2:6" x14ac:dyDescent="0.35">
      <c r="B21" s="8">
        <v>13</v>
      </c>
      <c r="C21" s="21"/>
      <c r="D21" s="21"/>
      <c r="E21" s="21"/>
      <c r="F21" s="21"/>
    </row>
    <row r="22" spans="2:6" x14ac:dyDescent="0.35">
      <c r="B22" s="8">
        <v>14</v>
      </c>
      <c r="C22" s="21"/>
      <c r="D22" s="21"/>
      <c r="E22" s="21"/>
      <c r="F22" s="21"/>
    </row>
    <row r="23" spans="2:6" x14ac:dyDescent="0.35">
      <c r="B23" s="8">
        <v>15</v>
      </c>
      <c r="C23" s="21"/>
      <c r="D23" s="21"/>
      <c r="E23" s="21"/>
      <c r="F23" s="21"/>
    </row>
    <row r="24" spans="2:6" hidden="1" x14ac:dyDescent="0.35">
      <c r="B24" s="8">
        <v>16</v>
      </c>
      <c r="C24" s="21"/>
      <c r="D24" s="21"/>
      <c r="E24" s="21"/>
      <c r="F24" s="21"/>
    </row>
    <row r="25" spans="2:6" hidden="1" x14ac:dyDescent="0.35">
      <c r="B25" s="8">
        <v>17</v>
      </c>
      <c r="C25" s="21"/>
      <c r="D25" s="21"/>
      <c r="E25" s="21"/>
      <c r="F25" s="21"/>
    </row>
    <row r="26" spans="2:6" hidden="1" x14ac:dyDescent="0.35">
      <c r="B26" s="8">
        <v>18</v>
      </c>
      <c r="C26" s="21"/>
      <c r="D26" s="21"/>
      <c r="E26" s="21"/>
      <c r="F26" s="21"/>
    </row>
    <row r="27" spans="2:6" hidden="1" x14ac:dyDescent="0.35">
      <c r="B27" s="8">
        <v>19</v>
      </c>
      <c r="C27" s="21"/>
      <c r="D27" s="21"/>
      <c r="E27" s="21"/>
      <c r="F27" s="21"/>
    </row>
    <row r="28" spans="2:6" hidden="1" x14ac:dyDescent="0.35">
      <c r="B28" s="8">
        <v>20</v>
      </c>
      <c r="C28" s="21"/>
      <c r="D28" s="21"/>
      <c r="E28" s="21"/>
      <c r="F28" s="21"/>
    </row>
    <row r="29" spans="2:6" hidden="1" x14ac:dyDescent="0.35">
      <c r="B29" s="8">
        <v>21</v>
      </c>
      <c r="C29" s="21"/>
      <c r="D29" s="21"/>
      <c r="E29" s="21"/>
      <c r="F29" s="21"/>
    </row>
    <row r="30" spans="2:6" hidden="1" x14ac:dyDescent="0.35">
      <c r="B30" s="8">
        <v>22</v>
      </c>
      <c r="C30" s="21"/>
      <c r="D30" s="21"/>
      <c r="E30" s="21"/>
      <c r="F30" s="21"/>
    </row>
    <row r="31" spans="2:6" hidden="1" x14ac:dyDescent="0.35">
      <c r="B31" s="8">
        <v>23</v>
      </c>
      <c r="C31" s="21"/>
      <c r="D31" s="21"/>
      <c r="E31" s="21"/>
      <c r="F31" s="21"/>
    </row>
    <row r="32" spans="2:6" hidden="1" x14ac:dyDescent="0.35">
      <c r="B32" s="8">
        <v>24</v>
      </c>
      <c r="C32" s="21"/>
      <c r="D32" s="21"/>
      <c r="E32" s="21"/>
      <c r="F32" s="21"/>
    </row>
    <row r="33" spans="2:6" hidden="1" x14ac:dyDescent="0.35">
      <c r="B33" s="8">
        <v>25</v>
      </c>
      <c r="C33" s="21"/>
      <c r="D33" s="21"/>
      <c r="E33" s="21"/>
      <c r="F33" s="21"/>
    </row>
    <row r="34" spans="2:6" hidden="1" x14ac:dyDescent="0.35">
      <c r="B34" s="8">
        <v>26</v>
      </c>
      <c r="C34" s="21"/>
      <c r="D34" s="21"/>
      <c r="E34" s="21"/>
      <c r="F34" s="21"/>
    </row>
    <row r="35" spans="2:6" hidden="1" x14ac:dyDescent="0.35">
      <c r="B35" s="8">
        <v>27</v>
      </c>
      <c r="C35" s="21"/>
      <c r="D35" s="21"/>
      <c r="E35" s="21"/>
      <c r="F35" s="21"/>
    </row>
    <row r="36" spans="2:6" hidden="1" x14ac:dyDescent="0.35">
      <c r="B36" s="8">
        <v>28</v>
      </c>
      <c r="C36" s="21"/>
      <c r="D36" s="21"/>
      <c r="E36" s="21"/>
      <c r="F36" s="21"/>
    </row>
    <row r="37" spans="2:6" hidden="1" x14ac:dyDescent="0.35">
      <c r="B37" s="8">
        <v>29</v>
      </c>
      <c r="C37" s="21"/>
      <c r="D37" s="21"/>
      <c r="E37" s="21"/>
      <c r="F37" s="21"/>
    </row>
    <row r="38" spans="2:6" hidden="1" x14ac:dyDescent="0.35">
      <c r="B38" s="8">
        <v>30</v>
      </c>
      <c r="C38" s="21"/>
      <c r="D38" s="21"/>
      <c r="E38" s="21"/>
      <c r="F38" s="21"/>
    </row>
    <row r="39" spans="2:6" hidden="1" x14ac:dyDescent="0.35">
      <c r="B39" s="8">
        <v>31</v>
      </c>
      <c r="C39" s="21"/>
      <c r="D39" s="21"/>
      <c r="E39" s="21"/>
      <c r="F39" s="21"/>
    </row>
    <row r="40" spans="2:6" hidden="1" x14ac:dyDescent="0.35">
      <c r="B40" s="8">
        <v>32</v>
      </c>
      <c r="C40" s="21"/>
      <c r="D40" s="21"/>
      <c r="E40" s="21"/>
      <c r="F40" s="21"/>
    </row>
    <row r="41" spans="2:6" hidden="1" x14ac:dyDescent="0.35">
      <c r="B41" s="8">
        <v>33</v>
      </c>
      <c r="C41" s="21"/>
      <c r="D41" s="21"/>
      <c r="E41" s="21"/>
      <c r="F41" s="21"/>
    </row>
    <row r="42" spans="2:6" hidden="1" x14ac:dyDescent="0.35">
      <c r="B42" s="8">
        <v>34</v>
      </c>
      <c r="C42" s="21"/>
      <c r="D42" s="21"/>
      <c r="E42" s="21"/>
      <c r="F42" s="21"/>
    </row>
    <row r="43" spans="2:6" hidden="1" x14ac:dyDescent="0.35">
      <c r="B43" s="8">
        <v>35</v>
      </c>
      <c r="C43" s="21"/>
      <c r="D43" s="21"/>
      <c r="E43" s="21"/>
      <c r="F43" s="21"/>
    </row>
    <row r="44" spans="2:6" hidden="1" x14ac:dyDescent="0.35">
      <c r="B44" s="8">
        <v>36</v>
      </c>
      <c r="C44" s="21"/>
      <c r="D44" s="21"/>
      <c r="E44" s="21"/>
      <c r="F44" s="21"/>
    </row>
    <row r="45" spans="2:6" hidden="1" x14ac:dyDescent="0.35">
      <c r="B45" s="8">
        <v>37</v>
      </c>
      <c r="C45" s="21"/>
      <c r="D45" s="21"/>
      <c r="E45" s="21"/>
      <c r="F45" s="21"/>
    </row>
    <row r="46" spans="2:6" hidden="1" x14ac:dyDescent="0.35">
      <c r="B46" s="8">
        <v>38</v>
      </c>
      <c r="C46" s="21"/>
      <c r="D46" s="21"/>
      <c r="E46" s="21"/>
      <c r="F46" s="21"/>
    </row>
    <row r="47" spans="2:6" hidden="1" x14ac:dyDescent="0.35">
      <c r="B47" s="8">
        <v>39</v>
      </c>
      <c r="C47" s="21"/>
      <c r="D47" s="21"/>
      <c r="E47" s="21"/>
      <c r="F47" s="21"/>
    </row>
    <row r="48" spans="2:6" hidden="1" x14ac:dyDescent="0.35">
      <c r="B48" s="8">
        <v>40</v>
      </c>
      <c r="C48" s="21"/>
      <c r="D48" s="21"/>
      <c r="E48" s="21"/>
      <c r="F48" s="21"/>
    </row>
    <row r="49" spans="2:6" hidden="1" x14ac:dyDescent="0.35">
      <c r="B49" s="8">
        <v>41</v>
      </c>
      <c r="C49" s="21"/>
      <c r="D49" s="21"/>
      <c r="E49" s="21"/>
      <c r="F49" s="21"/>
    </row>
    <row r="50" spans="2:6" hidden="1" x14ac:dyDescent="0.35">
      <c r="B50" s="8">
        <v>42</v>
      </c>
      <c r="C50" s="21"/>
      <c r="D50" s="21"/>
      <c r="E50" s="21"/>
      <c r="F50" s="21"/>
    </row>
    <row r="51" spans="2:6" hidden="1" x14ac:dyDescent="0.35">
      <c r="B51" s="8">
        <v>43</v>
      </c>
      <c r="C51" s="21"/>
      <c r="D51" s="21"/>
      <c r="E51" s="21"/>
      <c r="F51" s="21"/>
    </row>
    <row r="52" spans="2:6" hidden="1" x14ac:dyDescent="0.35">
      <c r="B52" s="8">
        <v>44</v>
      </c>
      <c r="C52" s="21"/>
      <c r="D52" s="21"/>
      <c r="E52" s="21"/>
      <c r="F52" s="21"/>
    </row>
    <row r="53" spans="2:6" hidden="1" x14ac:dyDescent="0.35">
      <c r="B53" s="8">
        <v>45</v>
      </c>
      <c r="C53" s="21"/>
      <c r="D53" s="21"/>
      <c r="E53" s="21"/>
      <c r="F53" s="21"/>
    </row>
    <row r="54" spans="2:6" hidden="1" x14ac:dyDescent="0.35">
      <c r="B54" s="8">
        <v>46</v>
      </c>
      <c r="C54" s="21"/>
      <c r="D54" s="21"/>
      <c r="E54" s="21"/>
      <c r="F54" s="21"/>
    </row>
    <row r="55" spans="2:6" hidden="1" x14ac:dyDescent="0.35">
      <c r="B55" s="8">
        <v>47</v>
      </c>
      <c r="C55" s="21"/>
      <c r="D55" s="21"/>
      <c r="E55" s="21"/>
      <c r="F55" s="21"/>
    </row>
    <row r="56" spans="2:6" hidden="1" x14ac:dyDescent="0.35">
      <c r="B56" s="8">
        <v>48</v>
      </c>
      <c r="C56" s="21"/>
      <c r="D56" s="21"/>
      <c r="E56" s="21"/>
      <c r="F56" s="21"/>
    </row>
    <row r="57" spans="2:6" hidden="1" x14ac:dyDescent="0.35">
      <c r="B57" s="8">
        <v>49</v>
      </c>
      <c r="C57" s="21"/>
      <c r="D57" s="21"/>
      <c r="E57" s="21"/>
      <c r="F57" s="21"/>
    </row>
    <row r="58" spans="2:6" hidden="1" x14ac:dyDescent="0.35">
      <c r="B58" s="8">
        <v>50</v>
      </c>
      <c r="C58" s="21"/>
      <c r="D58" s="21"/>
      <c r="E58" s="21"/>
      <c r="F58" s="21"/>
    </row>
    <row r="59" spans="2:6" hidden="1" x14ac:dyDescent="0.35">
      <c r="B59" s="8">
        <v>51</v>
      </c>
      <c r="C59" s="21"/>
      <c r="D59" s="21"/>
      <c r="E59" s="21"/>
      <c r="F59" s="21"/>
    </row>
    <row r="60" spans="2:6" hidden="1" x14ac:dyDescent="0.35">
      <c r="B60" s="8">
        <v>52</v>
      </c>
      <c r="C60" s="21"/>
      <c r="D60" s="21"/>
      <c r="E60" s="21"/>
      <c r="F60" s="21"/>
    </row>
    <row r="61" spans="2:6" hidden="1" x14ac:dyDescent="0.35">
      <c r="B61" s="8">
        <v>53</v>
      </c>
      <c r="C61" s="21"/>
      <c r="D61" s="21"/>
      <c r="E61" s="21"/>
      <c r="F61" s="21"/>
    </row>
    <row r="62" spans="2:6" hidden="1" x14ac:dyDescent="0.35">
      <c r="B62" s="8">
        <v>54</v>
      </c>
      <c r="C62" s="21"/>
      <c r="D62" s="21"/>
      <c r="E62" s="21"/>
      <c r="F62" s="21"/>
    </row>
    <row r="63" spans="2:6" hidden="1" x14ac:dyDescent="0.35">
      <c r="B63" s="8">
        <v>55</v>
      </c>
      <c r="C63" s="21"/>
      <c r="D63" s="21"/>
      <c r="E63" s="21"/>
      <c r="F63" s="21"/>
    </row>
    <row r="64" spans="2:6" hidden="1" x14ac:dyDescent="0.35">
      <c r="B64" s="8">
        <v>56</v>
      </c>
      <c r="C64" s="21"/>
      <c r="D64" s="21"/>
      <c r="E64" s="21"/>
      <c r="F64" s="21"/>
    </row>
    <row r="65" spans="2:6" hidden="1" x14ac:dyDescent="0.35">
      <c r="B65" s="8">
        <v>57</v>
      </c>
      <c r="C65" s="21"/>
      <c r="D65" s="21"/>
      <c r="E65" s="21"/>
      <c r="F65" s="21"/>
    </row>
    <row r="66" spans="2:6" hidden="1" x14ac:dyDescent="0.35">
      <c r="B66" s="8">
        <v>58</v>
      </c>
      <c r="C66" s="21"/>
      <c r="D66" s="21"/>
      <c r="E66" s="21"/>
      <c r="F66" s="21"/>
    </row>
    <row r="67" spans="2:6" hidden="1" x14ac:dyDescent="0.35">
      <c r="B67" s="8">
        <v>59</v>
      </c>
      <c r="C67" s="21"/>
      <c r="D67" s="21"/>
      <c r="E67" s="21"/>
      <c r="F67" s="21"/>
    </row>
    <row r="68" spans="2:6" hidden="1" x14ac:dyDescent="0.35">
      <c r="B68" s="8">
        <v>60</v>
      </c>
      <c r="C68" s="21"/>
      <c r="D68" s="21"/>
      <c r="E68" s="21"/>
      <c r="F68" s="21"/>
    </row>
    <row r="69" spans="2:6" hidden="1" x14ac:dyDescent="0.35">
      <c r="B69" s="8">
        <v>61</v>
      </c>
      <c r="C69" s="21"/>
      <c r="D69" s="21"/>
      <c r="E69" s="21"/>
      <c r="F69" s="21"/>
    </row>
    <row r="70" spans="2:6" hidden="1" x14ac:dyDescent="0.35">
      <c r="B70" s="8">
        <v>62</v>
      </c>
      <c r="C70" s="21"/>
      <c r="D70" s="21"/>
      <c r="E70" s="21"/>
      <c r="F70" s="21"/>
    </row>
    <row r="71" spans="2:6" hidden="1" x14ac:dyDescent="0.35">
      <c r="B71" s="8">
        <v>63</v>
      </c>
      <c r="C71" s="21"/>
      <c r="D71" s="21"/>
      <c r="E71" s="21"/>
      <c r="F71" s="21"/>
    </row>
    <row r="72" spans="2:6" hidden="1" x14ac:dyDescent="0.35">
      <c r="B72" s="8">
        <v>64</v>
      </c>
      <c r="C72" s="21"/>
      <c r="D72" s="21"/>
      <c r="E72" s="21"/>
      <c r="F72" s="21"/>
    </row>
    <row r="73" spans="2:6" hidden="1" x14ac:dyDescent="0.35">
      <c r="B73" s="8">
        <v>65</v>
      </c>
      <c r="C73" s="21"/>
      <c r="D73" s="21"/>
      <c r="E73" s="21"/>
      <c r="F73" s="21"/>
    </row>
    <row r="74" spans="2:6" hidden="1" x14ac:dyDescent="0.35">
      <c r="B74" s="8">
        <v>66</v>
      </c>
      <c r="C74" s="21"/>
      <c r="D74" s="21"/>
      <c r="E74" s="21"/>
      <c r="F74" s="21"/>
    </row>
    <row r="75" spans="2:6" hidden="1" x14ac:dyDescent="0.35">
      <c r="B75" s="8">
        <v>67</v>
      </c>
      <c r="C75" s="21"/>
      <c r="D75" s="21"/>
      <c r="E75" s="21"/>
      <c r="F75" s="21"/>
    </row>
    <row r="76" spans="2:6" hidden="1" x14ac:dyDescent="0.35">
      <c r="B76" s="8">
        <v>68</v>
      </c>
      <c r="C76" s="21"/>
      <c r="D76" s="21"/>
      <c r="E76" s="21"/>
      <c r="F76" s="21"/>
    </row>
    <row r="77" spans="2:6" hidden="1" x14ac:dyDescent="0.35">
      <c r="B77" s="8">
        <v>69</v>
      </c>
      <c r="C77" s="21"/>
      <c r="D77" s="21"/>
      <c r="E77" s="21"/>
      <c r="F77" s="21"/>
    </row>
    <row r="78" spans="2:6" hidden="1" x14ac:dyDescent="0.35">
      <c r="B78" s="8">
        <v>70</v>
      </c>
      <c r="C78" s="21"/>
      <c r="D78" s="21"/>
      <c r="E78" s="21"/>
      <c r="F78" s="21"/>
    </row>
    <row r="79" spans="2:6" hidden="1" x14ac:dyDescent="0.35">
      <c r="B79" s="8">
        <v>71</v>
      </c>
      <c r="C79" s="21"/>
      <c r="D79" s="21"/>
      <c r="E79" s="21"/>
      <c r="F79" s="21"/>
    </row>
    <row r="80" spans="2:6" hidden="1" x14ac:dyDescent="0.35">
      <c r="B80" s="8">
        <v>72</v>
      </c>
      <c r="C80" s="21"/>
      <c r="D80" s="21"/>
      <c r="E80" s="21"/>
      <c r="F80" s="21"/>
    </row>
    <row r="81" spans="2:6" hidden="1" x14ac:dyDescent="0.35">
      <c r="B81" s="8">
        <v>73</v>
      </c>
      <c r="C81" s="21"/>
      <c r="D81" s="21"/>
      <c r="E81" s="21"/>
      <c r="F81" s="21"/>
    </row>
    <row r="82" spans="2:6" hidden="1" x14ac:dyDescent="0.35">
      <c r="B82" s="8">
        <v>74</v>
      </c>
      <c r="C82" s="21"/>
      <c r="D82" s="21"/>
      <c r="E82" s="21"/>
      <c r="F82" s="21"/>
    </row>
    <row r="83" spans="2:6" hidden="1" x14ac:dyDescent="0.35">
      <c r="B83" s="8">
        <v>75</v>
      </c>
      <c r="C83" s="21"/>
      <c r="D83" s="21"/>
      <c r="E83" s="21"/>
      <c r="F83" s="21"/>
    </row>
    <row r="84" spans="2:6" hidden="1" x14ac:dyDescent="0.35">
      <c r="B84" s="8">
        <v>76</v>
      </c>
      <c r="C84" s="21"/>
      <c r="D84" s="21"/>
      <c r="E84" s="21"/>
      <c r="F84" s="21"/>
    </row>
    <row r="85" spans="2:6" hidden="1" x14ac:dyDescent="0.35">
      <c r="B85" s="8">
        <v>77</v>
      </c>
      <c r="C85" s="21"/>
      <c r="D85" s="21"/>
      <c r="E85" s="21"/>
      <c r="F85" s="21"/>
    </row>
    <row r="86" spans="2:6" hidden="1" x14ac:dyDescent="0.35">
      <c r="B86" s="8">
        <v>78</v>
      </c>
      <c r="C86" s="21"/>
      <c r="D86" s="21"/>
      <c r="E86" s="21"/>
      <c r="F86" s="21"/>
    </row>
    <row r="87" spans="2:6" hidden="1" x14ac:dyDescent="0.35">
      <c r="B87" s="8">
        <v>79</v>
      </c>
      <c r="C87" s="21"/>
      <c r="D87" s="21"/>
      <c r="E87" s="21"/>
      <c r="F87" s="21"/>
    </row>
    <row r="88" spans="2:6" hidden="1" x14ac:dyDescent="0.35">
      <c r="B88" s="8">
        <v>80</v>
      </c>
      <c r="C88" s="21"/>
      <c r="D88" s="21"/>
      <c r="E88" s="21"/>
      <c r="F88" s="21"/>
    </row>
    <row r="89" spans="2:6" hidden="1" x14ac:dyDescent="0.35">
      <c r="B89" s="8">
        <v>81</v>
      </c>
      <c r="C89" s="21"/>
      <c r="D89" s="21"/>
      <c r="E89" s="21"/>
      <c r="F89" s="21"/>
    </row>
    <row r="90" spans="2:6" hidden="1" x14ac:dyDescent="0.35">
      <c r="B90" s="8">
        <v>82</v>
      </c>
      <c r="C90" s="21"/>
      <c r="D90" s="21"/>
      <c r="E90" s="21"/>
      <c r="F90" s="21"/>
    </row>
    <row r="91" spans="2:6" hidden="1" x14ac:dyDescent="0.35">
      <c r="B91" s="8">
        <v>83</v>
      </c>
      <c r="C91" s="21"/>
      <c r="D91" s="21"/>
      <c r="E91" s="21"/>
      <c r="F91" s="21"/>
    </row>
    <row r="92" spans="2:6" hidden="1" x14ac:dyDescent="0.35">
      <c r="B92" s="8">
        <v>84</v>
      </c>
      <c r="C92" s="21"/>
      <c r="D92" s="21"/>
      <c r="E92" s="21"/>
      <c r="F92" s="21"/>
    </row>
    <row r="93" spans="2:6" hidden="1" x14ac:dyDescent="0.35">
      <c r="B93" s="8">
        <v>85</v>
      </c>
      <c r="C93" s="21"/>
      <c r="D93" s="21"/>
      <c r="E93" s="21"/>
      <c r="F93" s="21"/>
    </row>
    <row r="94" spans="2:6" hidden="1" x14ac:dyDescent="0.35">
      <c r="B94" s="8">
        <v>86</v>
      </c>
      <c r="C94" s="21"/>
      <c r="D94" s="21"/>
      <c r="E94" s="21"/>
      <c r="F94" s="21"/>
    </row>
    <row r="95" spans="2:6" hidden="1" x14ac:dyDescent="0.35">
      <c r="B95" s="8">
        <v>87</v>
      </c>
      <c r="C95" s="21"/>
      <c r="D95" s="21"/>
      <c r="E95" s="21"/>
      <c r="F95" s="21"/>
    </row>
    <row r="96" spans="2:6" hidden="1" x14ac:dyDescent="0.35">
      <c r="B96" s="8">
        <v>88</v>
      </c>
      <c r="C96" s="21"/>
      <c r="D96" s="21"/>
      <c r="E96" s="21"/>
      <c r="F96" s="21"/>
    </row>
    <row r="97" spans="2:6" hidden="1" x14ac:dyDescent="0.35">
      <c r="B97" s="8">
        <v>89</v>
      </c>
      <c r="C97" s="21"/>
      <c r="D97" s="21"/>
      <c r="E97" s="21"/>
      <c r="F97" s="21"/>
    </row>
    <row r="98" spans="2:6" hidden="1" x14ac:dyDescent="0.35">
      <c r="B98" s="8">
        <v>90</v>
      </c>
      <c r="C98" s="21"/>
      <c r="D98" s="21"/>
      <c r="E98" s="21"/>
      <c r="F98" s="21"/>
    </row>
    <row r="99" spans="2:6" hidden="1" x14ac:dyDescent="0.35">
      <c r="B99" s="8">
        <v>91</v>
      </c>
      <c r="C99" s="21"/>
      <c r="D99" s="21"/>
      <c r="E99" s="21"/>
      <c r="F99" s="21"/>
    </row>
    <row r="100" spans="2:6" hidden="1" x14ac:dyDescent="0.35">
      <c r="B100" s="8">
        <v>92</v>
      </c>
      <c r="C100" s="21"/>
      <c r="D100" s="21"/>
      <c r="E100" s="21"/>
      <c r="F100" s="21"/>
    </row>
    <row r="101" spans="2:6" hidden="1" x14ac:dyDescent="0.35">
      <c r="B101" s="8">
        <v>93</v>
      </c>
      <c r="C101" s="21"/>
      <c r="D101" s="21"/>
      <c r="E101" s="21"/>
      <c r="F101" s="21"/>
    </row>
    <row r="102" spans="2:6" hidden="1" x14ac:dyDescent="0.35">
      <c r="B102" s="8">
        <v>94</v>
      </c>
      <c r="C102" s="21"/>
      <c r="D102" s="21"/>
      <c r="E102" s="21"/>
      <c r="F102" s="21"/>
    </row>
    <row r="103" spans="2:6" hidden="1" x14ac:dyDescent="0.35">
      <c r="B103" s="8">
        <v>95</v>
      </c>
      <c r="C103" s="21"/>
      <c r="D103" s="21"/>
      <c r="E103" s="21"/>
      <c r="F103" s="21"/>
    </row>
    <row r="104" spans="2:6" hidden="1" x14ac:dyDescent="0.35">
      <c r="B104" s="8">
        <v>96</v>
      </c>
      <c r="C104" s="21"/>
      <c r="D104" s="21"/>
      <c r="E104" s="21"/>
      <c r="F104" s="21"/>
    </row>
    <row r="105" spans="2:6" hidden="1" x14ac:dyDescent="0.35">
      <c r="B105" s="8">
        <v>97</v>
      </c>
      <c r="C105" s="21"/>
      <c r="D105" s="21"/>
      <c r="E105" s="21"/>
      <c r="F105" s="21"/>
    </row>
    <row r="106" spans="2:6" hidden="1" x14ac:dyDescent="0.35">
      <c r="B106" s="8">
        <v>98</v>
      </c>
      <c r="C106" s="21"/>
      <c r="D106" s="21"/>
      <c r="E106" s="21"/>
      <c r="F106" s="21"/>
    </row>
    <row r="107" spans="2:6" hidden="1" x14ac:dyDescent="0.35">
      <c r="B107" s="8">
        <v>99</v>
      </c>
      <c r="C107" s="21"/>
      <c r="D107" s="21"/>
      <c r="E107" s="21"/>
      <c r="F107" s="21"/>
    </row>
    <row r="108" spans="2:6" hidden="1" x14ac:dyDescent="0.35">
      <c r="B108" s="8">
        <v>100</v>
      </c>
      <c r="C108" s="21"/>
      <c r="D108" s="21"/>
      <c r="E108" s="21"/>
      <c r="F108" s="21"/>
    </row>
  </sheetData>
  <customSheetViews>
    <customSheetView guid="{FEB78FA3-F76F-466D-975D-34D65117687E}"/>
  </customSheetViews>
  <mergeCells count="2">
    <mergeCell ref="C2:F2"/>
    <mergeCell ref="D3:E3"/>
  </mergeCells>
  <dataValidations count="2">
    <dataValidation type="list" allowBlank="1" showInputMessage="1" promptTitle="Ayuda de Captura" prompt="Seleccione la categoría a la que pertenece el riesgo. En caso de que no encuentre la categoría que busca en la lista, sólo escríbala." sqref="E9:E108" xr:uid="{00000000-0002-0000-0100-000000000000}">
      <formula1>CategoriaRiesgo</formula1>
    </dataValidation>
    <dataValidation type="list" allowBlank="1" showInputMessage="1" showErrorMessage="1" errorTitle="Error de tipo" error="Debe seleccionar un tipo de riesgo de la lista ya que son los únicos permitidos." promptTitle="Ayuda de Captura" prompt="Seleccione el tipo de riesgo de la lista." sqref="F9:F108" xr:uid="{00000000-0002-0000-0100-000001000000}">
      <formula1>TipoRiesgo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Menu">
                <anchor moveWithCells="1" sizeWithCells="1">
                  <from>
                    <xdr:col>5</xdr:col>
                    <xdr:colOff>298450</xdr:colOff>
                    <xdr:row>4</xdr:row>
                    <xdr:rowOff>19050</xdr:rowOff>
                  </from>
                  <to>
                    <xdr:col>5</xdr:col>
                    <xdr:colOff>1022350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CambiarRiesgos">
                <anchor moveWithCells="1" sizeWithCells="1">
                  <from>
                    <xdr:col>4</xdr:col>
                    <xdr:colOff>933450</xdr:colOff>
                    <xdr:row>5</xdr:row>
                    <xdr:rowOff>146050</xdr:rowOff>
                  </from>
                  <to>
                    <xdr:col>6</xdr:col>
                    <xdr:colOff>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6"/>
  </sheetPr>
  <dimension ref="A1:G31"/>
  <sheetViews>
    <sheetView showGridLines="0" showRowColHeaders="0" topLeftCell="A2" workbookViewId="0">
      <selection activeCell="G7" sqref="G7"/>
    </sheetView>
  </sheetViews>
  <sheetFormatPr baseColWidth="10" defaultColWidth="0" defaultRowHeight="14.5" zeroHeight="1" x14ac:dyDescent="0.35"/>
  <cols>
    <col min="1" max="1" width="1.7265625" customWidth="1"/>
    <col min="2" max="2" width="11.453125" customWidth="1"/>
    <col min="3" max="3" width="31.26953125" customWidth="1"/>
    <col min="4" max="6" width="5.7265625" customWidth="1"/>
    <col min="7" max="7" width="40.26953125" customWidth="1"/>
    <col min="8" max="16384" width="11.453125" hidden="1"/>
  </cols>
  <sheetData>
    <row r="1" spans="2:7" x14ac:dyDescent="0.35"/>
    <row r="2" spans="2:7" ht="21" x14ac:dyDescent="0.5">
      <c r="C2" s="23" t="s">
        <v>23</v>
      </c>
      <c r="D2" s="23"/>
      <c r="E2" s="23"/>
      <c r="F2" s="23"/>
      <c r="G2" s="23"/>
    </row>
    <row r="3" spans="2:7" ht="18.5" x14ac:dyDescent="0.45">
      <c r="C3" s="18" t="s">
        <v>66</v>
      </c>
      <c r="D3" s="19" t="str">
        <f>IF('Captura de Riesgos'!D3&lt;&gt;"",'Captura de Riesgos'!D3,"")</f>
        <v/>
      </c>
    </row>
    <row r="4" spans="2:7" x14ac:dyDescent="0.35"/>
    <row r="5" spans="2:7" x14ac:dyDescent="0.35"/>
    <row r="6" spans="2:7" ht="104" x14ac:dyDescent="0.35">
      <c r="B6" s="3" t="s">
        <v>0</v>
      </c>
      <c r="C6" s="3" t="s">
        <v>2</v>
      </c>
      <c r="D6" s="13" t="s">
        <v>62</v>
      </c>
      <c r="E6" s="13" t="s">
        <v>63</v>
      </c>
      <c r="F6" s="13" t="s">
        <v>64</v>
      </c>
      <c r="G6" s="14" t="s">
        <v>65</v>
      </c>
    </row>
    <row r="7" spans="2:7" x14ac:dyDescent="0.35">
      <c r="B7" s="11">
        <v>1</v>
      </c>
      <c r="C7" s="20" t="s">
        <v>74</v>
      </c>
      <c r="D7" s="11">
        <v>5</v>
      </c>
      <c r="E7" s="11">
        <v>3</v>
      </c>
      <c r="F7" s="11">
        <v>3</v>
      </c>
      <c r="G7" s="12">
        <f>IF(AND(D7&lt;&gt;"",E7&lt;&gt;""),D7*E7,"")</f>
        <v>15</v>
      </c>
    </row>
    <row r="8" spans="2:7" x14ac:dyDescent="0.35">
      <c r="B8" s="11">
        <v>2</v>
      </c>
      <c r="C8" s="20"/>
      <c r="D8" s="11"/>
      <c r="E8" s="11"/>
      <c r="F8" s="11"/>
      <c r="G8" s="12" t="str">
        <f t="shared" ref="G8:G16" si="0">IF(AND(D8&lt;&gt;"",E8&lt;&gt;""),D8*E8,"")</f>
        <v/>
      </c>
    </row>
    <row r="9" spans="2:7" x14ac:dyDescent="0.35">
      <c r="B9" s="11">
        <v>3</v>
      </c>
      <c r="C9" s="20"/>
      <c r="D9" s="11"/>
      <c r="E9" s="11"/>
      <c r="F9" s="11"/>
      <c r="G9" s="12" t="str">
        <f t="shared" si="0"/>
        <v/>
      </c>
    </row>
    <row r="10" spans="2:7" x14ac:dyDescent="0.35">
      <c r="B10" s="11">
        <v>4</v>
      </c>
      <c r="C10" s="20"/>
      <c r="D10" s="11"/>
      <c r="E10" s="11"/>
      <c r="F10" s="11"/>
      <c r="G10" s="12" t="str">
        <f t="shared" si="0"/>
        <v/>
      </c>
    </row>
    <row r="11" spans="2:7" x14ac:dyDescent="0.35">
      <c r="B11" s="11">
        <v>5</v>
      </c>
      <c r="C11" s="20"/>
      <c r="D11" s="11"/>
      <c r="E11" s="11"/>
      <c r="F11" s="11"/>
      <c r="G11" s="12" t="str">
        <f t="shared" si="0"/>
        <v/>
      </c>
    </row>
    <row r="12" spans="2:7" x14ac:dyDescent="0.35">
      <c r="B12" s="11">
        <v>6</v>
      </c>
      <c r="C12" s="20"/>
      <c r="D12" s="11"/>
      <c r="E12" s="11"/>
      <c r="F12" s="11"/>
      <c r="G12" s="12" t="str">
        <f t="shared" si="0"/>
        <v/>
      </c>
    </row>
    <row r="13" spans="2:7" x14ac:dyDescent="0.35">
      <c r="B13" s="11">
        <v>7</v>
      </c>
      <c r="C13" s="20"/>
      <c r="D13" s="11"/>
      <c r="E13" s="11"/>
      <c r="F13" s="11"/>
      <c r="G13" s="12" t="str">
        <f t="shared" si="0"/>
        <v/>
      </c>
    </row>
    <row r="14" spans="2:7" x14ac:dyDescent="0.35">
      <c r="B14" s="11">
        <v>8</v>
      </c>
      <c r="C14" s="20"/>
      <c r="D14" s="11"/>
      <c r="E14" s="11"/>
      <c r="F14" s="11"/>
      <c r="G14" s="12" t="str">
        <f t="shared" si="0"/>
        <v/>
      </c>
    </row>
    <row r="15" spans="2:7" x14ac:dyDescent="0.35">
      <c r="B15" s="11">
        <v>9</v>
      </c>
      <c r="C15" s="20"/>
      <c r="D15" s="11"/>
      <c r="E15" s="11"/>
      <c r="F15" s="11"/>
      <c r="G15" s="12" t="str">
        <f t="shared" si="0"/>
        <v/>
      </c>
    </row>
    <row r="16" spans="2:7" x14ac:dyDescent="0.35">
      <c r="B16" s="11">
        <v>10</v>
      </c>
      <c r="C16" s="20"/>
      <c r="D16" s="11"/>
      <c r="E16" s="11"/>
      <c r="F16" s="11"/>
      <c r="G16" s="12" t="str">
        <f t="shared" si="0"/>
        <v/>
      </c>
    </row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  <row r="28" x14ac:dyDescent="0.35"/>
    <row r="29" x14ac:dyDescent="0.35"/>
    <row r="30" x14ac:dyDescent="0.35"/>
    <row r="31" ht="157.5" customHeight="1" x14ac:dyDescent="0.35"/>
  </sheetData>
  <customSheetViews>
    <customSheetView guid="{FEB78FA3-F76F-466D-975D-34D65117687E}"/>
  </customSheetViews>
  <mergeCells count="1">
    <mergeCell ref="C2:G2"/>
  </mergeCells>
  <conditionalFormatting sqref="G7:G16">
    <cfRule type="dataBar" priority="1">
      <dataBar>
        <cfvo type="min"/>
        <cfvo type="max"/>
        <color rgb="FFD6007B"/>
      </dataBar>
    </cfRule>
  </conditionalFormatting>
  <dataValidations count="4">
    <dataValidation type="list" allowBlank="1" showInputMessage="1" showErrorMessage="1" promptTitle="Impacto" prompt="1 - Muy Bajo_x000a_2 - Bajo_x000a_3 - Medio_x000a_4 - Medio Alto_x000a_5 - Alto" sqref="D7:D16" xr:uid="{00000000-0002-0000-0200-000000000000}">
      <formula1>Escala2</formula1>
    </dataValidation>
    <dataValidation type="list" allowBlank="1" showInputMessage="1" showErrorMessage="1" promptTitle="Probabilidad" prompt="0 - Baja - 0%_x000a_1 - Baja - (1%-20%) _x000a_2 - Media - (21% - 40%)_x000a_3 - Alta - (41% - 60%)_x000a_4 - Alta - (61% - 80%)_x000a_5 - Alta - (81% - 100%)" sqref="E7:E16" xr:uid="{00000000-0002-0000-0200-000001000000}">
      <formula1>Escala1</formula1>
    </dataValidation>
    <dataValidation type="list" allowBlank="1" showInputMessage="1" showErrorMessage="1" promptTitle="Advertencia" prompt="1 - Totalmente desconocido_x000a_2 - Conocido - no informado, no documentado_x000a_3 - Conocido - no informado, documentado_x000a_4 - Conocido - no documentado, informado_x000a_5 - Conocido - informado, documentado" sqref="F7:F16" xr:uid="{00000000-0002-0000-0200-000002000000}">
      <formula1>Escala2</formula1>
    </dataValidation>
    <dataValidation type="list" allowBlank="1" showInputMessage="1" showErrorMessage="1" errorTitle="Error de Captura" error="Sólo pueden seleccionarse riesgos existentes en la sección de &quot;Captura de Riesgos&quot;" promptTitle="Ayuda de Captura" prompt="Seleccione el riesgo que desea analizar" sqref="C7:C16" xr:uid="{00000000-0002-0000-0200-000003000000}">
      <formula1>Riesgos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Menu">
                <anchor moveWithCells="1" sizeWithCells="1">
                  <from>
                    <xdr:col>6</xdr:col>
                    <xdr:colOff>1917700</xdr:colOff>
                    <xdr:row>3</xdr:row>
                    <xdr:rowOff>95250</xdr:rowOff>
                  </from>
                  <to>
                    <xdr:col>6</xdr:col>
                    <xdr:colOff>2641600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7"/>
  </sheetPr>
  <dimension ref="A1:G108"/>
  <sheetViews>
    <sheetView showGridLines="0" showRowColHeaders="0" topLeftCell="A5" workbookViewId="0">
      <selection activeCell="F9" sqref="F9"/>
    </sheetView>
  </sheetViews>
  <sheetFormatPr baseColWidth="10" defaultColWidth="0" defaultRowHeight="14.5" zeroHeight="1" x14ac:dyDescent="0.35"/>
  <cols>
    <col min="1" max="1" width="1.7265625" customWidth="1"/>
    <col min="2" max="2" width="6.54296875" style="4" customWidth="1"/>
    <col min="3" max="3" width="31.1796875" customWidth="1"/>
    <col min="4" max="4" width="24.453125" customWidth="1"/>
    <col min="5" max="5" width="34.7265625" customWidth="1"/>
    <col min="6" max="6" width="42.54296875" customWidth="1"/>
    <col min="7" max="7" width="1.7265625" customWidth="1"/>
    <col min="8" max="16384" width="11.453125" hidden="1"/>
  </cols>
  <sheetData>
    <row r="1" spans="2:6" x14ac:dyDescent="0.35"/>
    <row r="2" spans="2:6" ht="21" x14ac:dyDescent="0.5">
      <c r="C2" s="23" t="s">
        <v>5</v>
      </c>
      <c r="D2" s="23"/>
      <c r="E2" s="23"/>
      <c r="F2" s="23"/>
    </row>
    <row r="3" spans="2:6" ht="18.5" x14ac:dyDescent="0.45">
      <c r="C3" s="18" t="s">
        <v>66</v>
      </c>
      <c r="D3" s="25" t="str">
        <f>IF('Captura de Riesgos'!D3&lt;&gt;"",'Captura de Riesgos'!D3,"")</f>
        <v/>
      </c>
      <c r="E3" s="25"/>
    </row>
    <row r="4" spans="2:6" x14ac:dyDescent="0.35"/>
    <row r="5" spans="2:6" x14ac:dyDescent="0.35"/>
    <row r="6" spans="2:6" x14ac:dyDescent="0.35"/>
    <row r="7" spans="2:6" x14ac:dyDescent="0.35"/>
    <row r="8" spans="2:6" s="4" customFormat="1" ht="29" x14ac:dyDescent="0.35">
      <c r="B8" s="7" t="s">
        <v>0</v>
      </c>
      <c r="C8" s="7" t="s">
        <v>2</v>
      </c>
      <c r="D8" s="7" t="s">
        <v>34</v>
      </c>
      <c r="E8" s="7" t="s">
        <v>35</v>
      </c>
      <c r="F8" s="7" t="s">
        <v>36</v>
      </c>
    </row>
    <row r="9" spans="2:6" ht="29" x14ac:dyDescent="0.35">
      <c r="B9" s="8">
        <v>1</v>
      </c>
      <c r="C9" s="21" t="str">
        <f>IF('Captura de Riesgos'!D9="","",'Captura de Riesgos'!D9)</f>
        <v>Error humano</v>
      </c>
      <c r="D9" s="21" t="s">
        <v>38</v>
      </c>
      <c r="E9" s="21" t="s">
        <v>75</v>
      </c>
      <c r="F9" s="21"/>
    </row>
    <row r="10" spans="2:6" x14ac:dyDescent="0.35">
      <c r="B10" s="8">
        <v>2</v>
      </c>
      <c r="C10" s="21" t="str">
        <f>IF('Captura de Riesgos'!D10="","",'Captura de Riesgos'!D10)</f>
        <v>Enfermedad</v>
      </c>
      <c r="D10" s="21"/>
      <c r="E10" s="21"/>
      <c r="F10" s="21"/>
    </row>
    <row r="11" spans="2:6" x14ac:dyDescent="0.35">
      <c r="B11" s="8">
        <v>3</v>
      </c>
      <c r="C11" s="21" t="str">
        <f>IF('Captura de Riesgos'!D11="","",'Captura de Riesgos'!D11)</f>
        <v>Sismo</v>
      </c>
      <c r="D11" s="21"/>
      <c r="E11" s="21"/>
      <c r="F11" s="21"/>
    </row>
    <row r="12" spans="2:6" x14ac:dyDescent="0.35">
      <c r="B12" s="8">
        <v>4</v>
      </c>
      <c r="C12" s="21" t="str">
        <f>IF('Captura de Riesgos'!D12="","",'Captura de Riesgos'!D12)</f>
        <v/>
      </c>
      <c r="D12" s="21"/>
      <c r="E12" s="21"/>
      <c r="F12" s="21"/>
    </row>
    <row r="13" spans="2:6" x14ac:dyDescent="0.35">
      <c r="B13" s="8">
        <v>5</v>
      </c>
      <c r="C13" s="21" t="str">
        <f>IF('Captura de Riesgos'!D13="","",'Captura de Riesgos'!D13)</f>
        <v/>
      </c>
      <c r="D13" s="21"/>
      <c r="E13" s="21"/>
      <c r="F13" s="21"/>
    </row>
    <row r="14" spans="2:6" x14ac:dyDescent="0.35">
      <c r="B14" s="8">
        <v>6</v>
      </c>
      <c r="C14" s="21" t="str">
        <f>IF('Captura de Riesgos'!D14="","",'Captura de Riesgos'!D14)</f>
        <v/>
      </c>
      <c r="D14" s="21"/>
      <c r="E14" s="21"/>
      <c r="F14" s="21"/>
    </row>
    <row r="15" spans="2:6" x14ac:dyDescent="0.35">
      <c r="B15" s="8">
        <v>7</v>
      </c>
      <c r="C15" s="21" t="str">
        <f>IF('Captura de Riesgos'!D15="","",'Captura de Riesgos'!D15)</f>
        <v/>
      </c>
      <c r="D15" s="21"/>
      <c r="E15" s="21"/>
      <c r="F15" s="21"/>
    </row>
    <row r="16" spans="2:6" x14ac:dyDescent="0.35">
      <c r="B16" s="8">
        <v>8</v>
      </c>
      <c r="C16" s="21" t="str">
        <f>IF('Captura de Riesgos'!D16="","",'Captura de Riesgos'!D16)</f>
        <v/>
      </c>
      <c r="D16" s="21"/>
      <c r="E16" s="21"/>
      <c r="F16" s="21"/>
    </row>
    <row r="17" spans="2:6" x14ac:dyDescent="0.35">
      <c r="B17" s="8">
        <v>9</v>
      </c>
      <c r="C17" s="21" t="str">
        <f>IF('Captura de Riesgos'!D17="","",'Captura de Riesgos'!D17)</f>
        <v/>
      </c>
      <c r="D17" s="21"/>
      <c r="E17" s="21"/>
      <c r="F17" s="21"/>
    </row>
    <row r="18" spans="2:6" x14ac:dyDescent="0.35">
      <c r="B18" s="8">
        <v>10</v>
      </c>
      <c r="C18" s="21" t="str">
        <f>IF('Captura de Riesgos'!D18="","",'Captura de Riesgos'!D18)</f>
        <v/>
      </c>
      <c r="D18" s="21"/>
      <c r="E18" s="21"/>
      <c r="F18" s="21"/>
    </row>
    <row r="19" spans="2:6" x14ac:dyDescent="0.35">
      <c r="B19" s="8">
        <v>11</v>
      </c>
      <c r="C19" s="21" t="str">
        <f>IF('Captura de Riesgos'!D19="","",'Captura de Riesgos'!D19)</f>
        <v/>
      </c>
      <c r="D19" s="21"/>
      <c r="E19" s="21"/>
      <c r="F19" s="21"/>
    </row>
    <row r="20" spans="2:6" x14ac:dyDescent="0.35">
      <c r="B20" s="8">
        <v>12</v>
      </c>
      <c r="C20" s="21" t="str">
        <f>IF('Captura de Riesgos'!D20="","",'Captura de Riesgos'!D20)</f>
        <v/>
      </c>
      <c r="D20" s="21"/>
      <c r="E20" s="21"/>
      <c r="F20" s="21"/>
    </row>
    <row r="21" spans="2:6" x14ac:dyDescent="0.35">
      <c r="B21" s="8">
        <v>13</v>
      </c>
      <c r="C21" s="21" t="str">
        <f>IF('Captura de Riesgos'!D21="","",'Captura de Riesgos'!D21)</f>
        <v/>
      </c>
      <c r="D21" s="21"/>
      <c r="E21" s="21"/>
      <c r="F21" s="21"/>
    </row>
    <row r="22" spans="2:6" x14ac:dyDescent="0.35">
      <c r="B22" s="8">
        <v>14</v>
      </c>
      <c r="C22" s="21" t="str">
        <f>IF('Captura de Riesgos'!D22="","",'Captura de Riesgos'!D22)</f>
        <v/>
      </c>
      <c r="D22" s="21"/>
      <c r="E22" s="21"/>
      <c r="F22" s="21"/>
    </row>
    <row r="23" spans="2:6" x14ac:dyDescent="0.35">
      <c r="B23" s="8">
        <v>15</v>
      </c>
      <c r="C23" s="21" t="str">
        <f>IF('Captura de Riesgos'!D23="","",'Captura de Riesgos'!D23)</f>
        <v/>
      </c>
      <c r="D23" s="21"/>
      <c r="E23" s="21"/>
      <c r="F23" s="21"/>
    </row>
    <row r="24" spans="2:6" hidden="1" x14ac:dyDescent="0.35">
      <c r="B24" s="8">
        <v>16</v>
      </c>
      <c r="C24" s="9" t="str">
        <f>IF('Captura de Riesgos'!D24="","",'Captura de Riesgos'!D24)</f>
        <v/>
      </c>
      <c r="D24" s="9"/>
      <c r="E24" s="9"/>
      <c r="F24" s="9"/>
    </row>
    <row r="25" spans="2:6" hidden="1" x14ac:dyDescent="0.35">
      <c r="B25" s="8">
        <v>17</v>
      </c>
      <c r="C25" s="9" t="str">
        <f>IF('Captura de Riesgos'!D25="","",'Captura de Riesgos'!D25)</f>
        <v/>
      </c>
      <c r="D25" s="9"/>
      <c r="E25" s="9"/>
      <c r="F25" s="9"/>
    </row>
    <row r="26" spans="2:6" hidden="1" x14ac:dyDescent="0.35">
      <c r="B26" s="8">
        <v>18</v>
      </c>
      <c r="C26" s="9" t="str">
        <f>IF('Captura de Riesgos'!D26="","",'Captura de Riesgos'!D26)</f>
        <v/>
      </c>
      <c r="D26" s="9"/>
      <c r="E26" s="9"/>
      <c r="F26" s="9"/>
    </row>
    <row r="27" spans="2:6" hidden="1" x14ac:dyDescent="0.35">
      <c r="B27" s="8">
        <v>19</v>
      </c>
      <c r="C27" s="9" t="str">
        <f>IF('Captura de Riesgos'!D27="","",'Captura de Riesgos'!D27)</f>
        <v/>
      </c>
      <c r="D27" s="9"/>
      <c r="E27" s="9"/>
      <c r="F27" s="9"/>
    </row>
    <row r="28" spans="2:6" hidden="1" x14ac:dyDescent="0.35">
      <c r="B28" s="8">
        <v>20</v>
      </c>
      <c r="C28" s="9" t="str">
        <f>IF('Captura de Riesgos'!D28="","",'Captura de Riesgos'!D28)</f>
        <v/>
      </c>
      <c r="D28" s="9"/>
      <c r="E28" s="9"/>
      <c r="F28" s="9"/>
    </row>
    <row r="29" spans="2:6" hidden="1" x14ac:dyDescent="0.35">
      <c r="B29" s="8">
        <v>21</v>
      </c>
      <c r="C29" s="9" t="str">
        <f>IF('Captura de Riesgos'!D29="","",'Captura de Riesgos'!D29)</f>
        <v/>
      </c>
      <c r="D29" s="9"/>
      <c r="E29" s="9"/>
      <c r="F29" s="9"/>
    </row>
    <row r="30" spans="2:6" hidden="1" x14ac:dyDescent="0.35">
      <c r="B30" s="8">
        <v>22</v>
      </c>
      <c r="C30" s="9" t="str">
        <f>IF('Captura de Riesgos'!D30="","",'Captura de Riesgos'!D30)</f>
        <v/>
      </c>
      <c r="D30" s="9"/>
      <c r="E30" s="9"/>
      <c r="F30" s="9"/>
    </row>
    <row r="31" spans="2:6" hidden="1" x14ac:dyDescent="0.35">
      <c r="B31" s="8">
        <v>23</v>
      </c>
      <c r="C31" s="9" t="str">
        <f>IF('Captura de Riesgos'!D31="","",'Captura de Riesgos'!D31)</f>
        <v/>
      </c>
      <c r="D31" s="9"/>
      <c r="E31" s="9"/>
      <c r="F31" s="9"/>
    </row>
    <row r="32" spans="2:6" hidden="1" x14ac:dyDescent="0.35">
      <c r="B32" s="8">
        <v>24</v>
      </c>
      <c r="C32" s="9" t="str">
        <f>IF('Captura de Riesgos'!D32="","",'Captura de Riesgos'!D32)</f>
        <v/>
      </c>
      <c r="D32" s="9"/>
      <c r="E32" s="9"/>
      <c r="F32" s="9"/>
    </row>
    <row r="33" spans="2:6" hidden="1" x14ac:dyDescent="0.35">
      <c r="B33" s="8">
        <v>25</v>
      </c>
      <c r="C33" s="9" t="str">
        <f>IF('Captura de Riesgos'!D33="","",'Captura de Riesgos'!D33)</f>
        <v/>
      </c>
      <c r="D33" s="9"/>
      <c r="E33" s="9"/>
      <c r="F33" s="9"/>
    </row>
    <row r="34" spans="2:6" hidden="1" x14ac:dyDescent="0.35">
      <c r="B34" s="8">
        <v>26</v>
      </c>
      <c r="C34" s="9" t="str">
        <f>IF('Captura de Riesgos'!D34="","",'Captura de Riesgos'!D34)</f>
        <v/>
      </c>
      <c r="D34" s="9"/>
      <c r="E34" s="9"/>
      <c r="F34" s="9"/>
    </row>
    <row r="35" spans="2:6" hidden="1" x14ac:dyDescent="0.35">
      <c r="B35" s="8">
        <v>27</v>
      </c>
      <c r="C35" s="9" t="str">
        <f>IF('Captura de Riesgos'!D35="","",'Captura de Riesgos'!D35)</f>
        <v/>
      </c>
      <c r="D35" s="9"/>
      <c r="E35" s="9"/>
      <c r="F35" s="9"/>
    </row>
    <row r="36" spans="2:6" hidden="1" x14ac:dyDescent="0.35">
      <c r="B36" s="8">
        <v>28</v>
      </c>
      <c r="C36" s="9" t="str">
        <f>IF('Captura de Riesgos'!D36="","",'Captura de Riesgos'!D36)</f>
        <v/>
      </c>
      <c r="D36" s="9"/>
      <c r="E36" s="9"/>
      <c r="F36" s="9"/>
    </row>
    <row r="37" spans="2:6" hidden="1" x14ac:dyDescent="0.35">
      <c r="B37" s="8">
        <v>29</v>
      </c>
      <c r="C37" s="9" t="str">
        <f>IF('Captura de Riesgos'!D37="","",'Captura de Riesgos'!D37)</f>
        <v/>
      </c>
      <c r="D37" s="9"/>
      <c r="E37" s="9"/>
      <c r="F37" s="9"/>
    </row>
    <row r="38" spans="2:6" hidden="1" x14ac:dyDescent="0.35">
      <c r="B38" s="8">
        <v>30</v>
      </c>
      <c r="C38" s="9" t="str">
        <f>IF('Captura de Riesgos'!D38="","",'Captura de Riesgos'!D38)</f>
        <v/>
      </c>
      <c r="D38" s="9"/>
      <c r="E38" s="9"/>
      <c r="F38" s="9"/>
    </row>
    <row r="39" spans="2:6" hidden="1" x14ac:dyDescent="0.35">
      <c r="B39" s="8">
        <v>31</v>
      </c>
      <c r="C39" s="9" t="str">
        <f>IF('Captura de Riesgos'!D39="","",'Captura de Riesgos'!D39)</f>
        <v/>
      </c>
      <c r="D39" s="9"/>
      <c r="E39" s="9"/>
      <c r="F39" s="9"/>
    </row>
    <row r="40" spans="2:6" hidden="1" x14ac:dyDescent="0.35">
      <c r="B40" s="8">
        <v>32</v>
      </c>
      <c r="C40" s="9" t="str">
        <f>IF('Captura de Riesgos'!D40="","",'Captura de Riesgos'!D40)</f>
        <v/>
      </c>
      <c r="D40" s="9"/>
      <c r="E40" s="9"/>
      <c r="F40" s="9"/>
    </row>
    <row r="41" spans="2:6" hidden="1" x14ac:dyDescent="0.35">
      <c r="B41" s="8">
        <v>33</v>
      </c>
      <c r="C41" s="9" t="str">
        <f>IF('Captura de Riesgos'!D41="","",'Captura de Riesgos'!D41)</f>
        <v/>
      </c>
      <c r="D41" s="9"/>
      <c r="E41" s="9"/>
      <c r="F41" s="9"/>
    </row>
    <row r="42" spans="2:6" hidden="1" x14ac:dyDescent="0.35">
      <c r="B42" s="8">
        <v>34</v>
      </c>
      <c r="C42" s="9" t="str">
        <f>IF('Captura de Riesgos'!D42="","",'Captura de Riesgos'!D42)</f>
        <v/>
      </c>
      <c r="D42" s="9"/>
      <c r="E42" s="9"/>
      <c r="F42" s="9"/>
    </row>
    <row r="43" spans="2:6" hidden="1" x14ac:dyDescent="0.35">
      <c r="B43" s="8">
        <v>35</v>
      </c>
      <c r="C43" s="9" t="str">
        <f>IF('Captura de Riesgos'!D43="","",'Captura de Riesgos'!D43)</f>
        <v/>
      </c>
      <c r="D43" s="9"/>
      <c r="E43" s="9"/>
      <c r="F43" s="9"/>
    </row>
    <row r="44" spans="2:6" hidden="1" x14ac:dyDescent="0.35">
      <c r="B44" s="8">
        <v>36</v>
      </c>
      <c r="C44" s="9" t="str">
        <f>IF('Captura de Riesgos'!D44="","",'Captura de Riesgos'!D44)</f>
        <v/>
      </c>
      <c r="D44" s="9"/>
      <c r="E44" s="9"/>
      <c r="F44" s="9"/>
    </row>
    <row r="45" spans="2:6" hidden="1" x14ac:dyDescent="0.35">
      <c r="B45" s="8">
        <v>37</v>
      </c>
      <c r="C45" s="9" t="str">
        <f>IF('Captura de Riesgos'!D45="","",'Captura de Riesgos'!D45)</f>
        <v/>
      </c>
      <c r="D45" s="9"/>
      <c r="E45" s="9"/>
      <c r="F45" s="9"/>
    </row>
    <row r="46" spans="2:6" hidden="1" x14ac:dyDescent="0.35">
      <c r="B46" s="8">
        <v>38</v>
      </c>
      <c r="C46" s="9" t="str">
        <f>IF('Captura de Riesgos'!D46="","",'Captura de Riesgos'!D46)</f>
        <v/>
      </c>
      <c r="D46" s="9"/>
      <c r="E46" s="9"/>
      <c r="F46" s="9"/>
    </row>
    <row r="47" spans="2:6" hidden="1" x14ac:dyDescent="0.35">
      <c r="B47" s="8">
        <v>39</v>
      </c>
      <c r="C47" s="9" t="str">
        <f>IF('Captura de Riesgos'!D47="","",'Captura de Riesgos'!D47)</f>
        <v/>
      </c>
      <c r="D47" s="9"/>
      <c r="E47" s="9"/>
      <c r="F47" s="9"/>
    </row>
    <row r="48" spans="2:6" hidden="1" x14ac:dyDescent="0.35">
      <c r="B48" s="8">
        <v>40</v>
      </c>
      <c r="C48" s="9" t="str">
        <f>IF('Captura de Riesgos'!D48="","",'Captura de Riesgos'!D48)</f>
        <v/>
      </c>
      <c r="D48" s="9"/>
      <c r="E48" s="9"/>
      <c r="F48" s="9"/>
    </row>
    <row r="49" spans="2:6" hidden="1" x14ac:dyDescent="0.35">
      <c r="B49" s="8">
        <v>41</v>
      </c>
      <c r="C49" s="9" t="str">
        <f>IF('Captura de Riesgos'!D49="","",'Captura de Riesgos'!D49)</f>
        <v/>
      </c>
      <c r="D49" s="9"/>
      <c r="E49" s="9"/>
      <c r="F49" s="9"/>
    </row>
    <row r="50" spans="2:6" hidden="1" x14ac:dyDescent="0.35">
      <c r="B50" s="8">
        <v>42</v>
      </c>
      <c r="C50" s="9" t="str">
        <f>IF('Captura de Riesgos'!D50="","",'Captura de Riesgos'!D50)</f>
        <v/>
      </c>
      <c r="D50" s="9"/>
      <c r="E50" s="9"/>
      <c r="F50" s="9"/>
    </row>
    <row r="51" spans="2:6" hidden="1" x14ac:dyDescent="0.35">
      <c r="B51" s="8">
        <v>43</v>
      </c>
      <c r="C51" s="9" t="str">
        <f>IF('Captura de Riesgos'!D51="","",'Captura de Riesgos'!D51)</f>
        <v/>
      </c>
      <c r="D51" s="9"/>
      <c r="E51" s="9"/>
      <c r="F51" s="9"/>
    </row>
    <row r="52" spans="2:6" hidden="1" x14ac:dyDescent="0.35">
      <c r="B52" s="8">
        <v>44</v>
      </c>
      <c r="C52" s="9" t="str">
        <f>IF('Captura de Riesgos'!D52="","",'Captura de Riesgos'!D52)</f>
        <v/>
      </c>
      <c r="D52" s="9"/>
      <c r="E52" s="9"/>
      <c r="F52" s="9"/>
    </row>
    <row r="53" spans="2:6" hidden="1" x14ac:dyDescent="0.35">
      <c r="B53" s="8">
        <v>45</v>
      </c>
      <c r="C53" s="9" t="str">
        <f>IF('Captura de Riesgos'!D53="","",'Captura de Riesgos'!D53)</f>
        <v/>
      </c>
      <c r="D53" s="9"/>
      <c r="E53" s="9"/>
      <c r="F53" s="9"/>
    </row>
    <row r="54" spans="2:6" hidden="1" x14ac:dyDescent="0.35">
      <c r="B54" s="8">
        <v>46</v>
      </c>
      <c r="C54" s="9" t="str">
        <f>IF('Captura de Riesgos'!D54="","",'Captura de Riesgos'!D54)</f>
        <v/>
      </c>
      <c r="D54" s="9"/>
      <c r="E54" s="9"/>
      <c r="F54" s="9"/>
    </row>
    <row r="55" spans="2:6" hidden="1" x14ac:dyDescent="0.35">
      <c r="B55" s="8">
        <v>47</v>
      </c>
      <c r="C55" s="9" t="str">
        <f>IF('Captura de Riesgos'!D55="","",'Captura de Riesgos'!D55)</f>
        <v/>
      </c>
      <c r="D55" s="9"/>
      <c r="E55" s="9"/>
      <c r="F55" s="9"/>
    </row>
    <row r="56" spans="2:6" hidden="1" x14ac:dyDescent="0.35">
      <c r="B56" s="8">
        <v>48</v>
      </c>
      <c r="C56" s="9" t="str">
        <f>IF('Captura de Riesgos'!D56="","",'Captura de Riesgos'!D56)</f>
        <v/>
      </c>
      <c r="D56" s="9"/>
      <c r="E56" s="9"/>
      <c r="F56" s="9"/>
    </row>
    <row r="57" spans="2:6" hidden="1" x14ac:dyDescent="0.35">
      <c r="B57" s="8">
        <v>49</v>
      </c>
      <c r="C57" s="9" t="str">
        <f>IF('Captura de Riesgos'!D57="","",'Captura de Riesgos'!D57)</f>
        <v/>
      </c>
      <c r="D57" s="9"/>
      <c r="E57" s="9"/>
      <c r="F57" s="9"/>
    </row>
    <row r="58" spans="2:6" hidden="1" x14ac:dyDescent="0.35">
      <c r="B58" s="8">
        <v>50</v>
      </c>
      <c r="C58" s="9" t="str">
        <f>IF('Captura de Riesgos'!D58="","",'Captura de Riesgos'!D58)</f>
        <v/>
      </c>
      <c r="D58" s="9"/>
      <c r="E58" s="9"/>
      <c r="F58" s="9"/>
    </row>
    <row r="59" spans="2:6" hidden="1" x14ac:dyDescent="0.35">
      <c r="B59" s="8">
        <v>51</v>
      </c>
      <c r="C59" s="9" t="str">
        <f>IF('Captura de Riesgos'!D59="","",'Captura de Riesgos'!D59)</f>
        <v/>
      </c>
      <c r="D59" s="9"/>
      <c r="E59" s="9"/>
      <c r="F59" s="9"/>
    </row>
    <row r="60" spans="2:6" hidden="1" x14ac:dyDescent="0.35">
      <c r="B60" s="8">
        <v>52</v>
      </c>
      <c r="C60" s="9" t="str">
        <f>IF('Captura de Riesgos'!D60="","",'Captura de Riesgos'!D60)</f>
        <v/>
      </c>
      <c r="D60" s="9"/>
      <c r="E60" s="9"/>
      <c r="F60" s="9"/>
    </row>
    <row r="61" spans="2:6" hidden="1" x14ac:dyDescent="0.35">
      <c r="B61" s="8">
        <v>53</v>
      </c>
      <c r="C61" s="9" t="str">
        <f>IF('Captura de Riesgos'!D61="","",'Captura de Riesgos'!D61)</f>
        <v/>
      </c>
      <c r="D61" s="9"/>
      <c r="E61" s="9"/>
      <c r="F61" s="9"/>
    </row>
    <row r="62" spans="2:6" hidden="1" x14ac:dyDescent="0.35">
      <c r="B62" s="8">
        <v>54</v>
      </c>
      <c r="C62" s="9" t="str">
        <f>IF('Captura de Riesgos'!D62="","",'Captura de Riesgos'!D62)</f>
        <v/>
      </c>
      <c r="D62" s="9"/>
      <c r="E62" s="9"/>
      <c r="F62" s="9"/>
    </row>
    <row r="63" spans="2:6" hidden="1" x14ac:dyDescent="0.35">
      <c r="B63" s="8">
        <v>55</v>
      </c>
      <c r="C63" s="9" t="str">
        <f>IF('Captura de Riesgos'!D63="","",'Captura de Riesgos'!D63)</f>
        <v/>
      </c>
      <c r="D63" s="9"/>
      <c r="E63" s="9"/>
      <c r="F63" s="9"/>
    </row>
    <row r="64" spans="2:6" hidden="1" x14ac:dyDescent="0.35">
      <c r="B64" s="8">
        <v>56</v>
      </c>
      <c r="C64" s="9" t="str">
        <f>IF('Captura de Riesgos'!D64="","",'Captura de Riesgos'!D64)</f>
        <v/>
      </c>
      <c r="D64" s="9"/>
      <c r="E64" s="9"/>
      <c r="F64" s="9"/>
    </row>
    <row r="65" spans="2:6" hidden="1" x14ac:dyDescent="0.35">
      <c r="B65" s="8">
        <v>57</v>
      </c>
      <c r="C65" s="9" t="str">
        <f>IF('Captura de Riesgos'!D65="","",'Captura de Riesgos'!D65)</f>
        <v/>
      </c>
      <c r="D65" s="9"/>
      <c r="E65" s="9"/>
      <c r="F65" s="9"/>
    </row>
    <row r="66" spans="2:6" hidden="1" x14ac:dyDescent="0.35">
      <c r="B66" s="8">
        <v>58</v>
      </c>
      <c r="C66" s="9" t="str">
        <f>IF('Captura de Riesgos'!D66="","",'Captura de Riesgos'!D66)</f>
        <v/>
      </c>
      <c r="D66" s="9"/>
      <c r="E66" s="9"/>
      <c r="F66" s="9"/>
    </row>
    <row r="67" spans="2:6" hidden="1" x14ac:dyDescent="0.35">
      <c r="B67" s="8">
        <v>59</v>
      </c>
      <c r="C67" s="9" t="str">
        <f>IF('Captura de Riesgos'!D67="","",'Captura de Riesgos'!D67)</f>
        <v/>
      </c>
      <c r="D67" s="9"/>
      <c r="E67" s="9"/>
      <c r="F67" s="9"/>
    </row>
    <row r="68" spans="2:6" hidden="1" x14ac:dyDescent="0.35">
      <c r="B68" s="8">
        <v>60</v>
      </c>
      <c r="C68" s="9" t="str">
        <f>IF('Captura de Riesgos'!D68="","",'Captura de Riesgos'!D68)</f>
        <v/>
      </c>
      <c r="D68" s="9"/>
      <c r="E68" s="9"/>
      <c r="F68" s="9"/>
    </row>
    <row r="69" spans="2:6" hidden="1" x14ac:dyDescent="0.35">
      <c r="B69" s="8">
        <v>61</v>
      </c>
      <c r="C69" s="9" t="str">
        <f>IF('Captura de Riesgos'!D69="","",'Captura de Riesgos'!D69)</f>
        <v/>
      </c>
      <c r="D69" s="9"/>
      <c r="E69" s="9"/>
      <c r="F69" s="9"/>
    </row>
    <row r="70" spans="2:6" hidden="1" x14ac:dyDescent="0.35">
      <c r="B70" s="8">
        <v>62</v>
      </c>
      <c r="C70" s="9" t="str">
        <f>IF('Captura de Riesgos'!D70="","",'Captura de Riesgos'!D70)</f>
        <v/>
      </c>
      <c r="D70" s="9"/>
      <c r="E70" s="9"/>
      <c r="F70" s="9"/>
    </row>
    <row r="71" spans="2:6" hidden="1" x14ac:dyDescent="0.35">
      <c r="B71" s="8">
        <v>63</v>
      </c>
      <c r="C71" s="9" t="str">
        <f>IF('Captura de Riesgos'!D71="","",'Captura de Riesgos'!D71)</f>
        <v/>
      </c>
      <c r="D71" s="9"/>
      <c r="E71" s="9"/>
      <c r="F71" s="9"/>
    </row>
    <row r="72" spans="2:6" hidden="1" x14ac:dyDescent="0.35">
      <c r="B72" s="8">
        <v>64</v>
      </c>
      <c r="C72" s="9" t="str">
        <f>IF('Captura de Riesgos'!D72="","",'Captura de Riesgos'!D72)</f>
        <v/>
      </c>
      <c r="D72" s="9"/>
      <c r="E72" s="9"/>
      <c r="F72" s="9"/>
    </row>
    <row r="73" spans="2:6" hidden="1" x14ac:dyDescent="0.35">
      <c r="B73" s="8">
        <v>65</v>
      </c>
      <c r="C73" s="9" t="str">
        <f>IF('Captura de Riesgos'!D73="","",'Captura de Riesgos'!D73)</f>
        <v/>
      </c>
      <c r="D73" s="9"/>
      <c r="E73" s="9"/>
      <c r="F73" s="9"/>
    </row>
    <row r="74" spans="2:6" hidden="1" x14ac:dyDescent="0.35">
      <c r="B74" s="8">
        <v>66</v>
      </c>
      <c r="C74" s="9" t="str">
        <f>IF('Captura de Riesgos'!D74="","",'Captura de Riesgos'!D74)</f>
        <v/>
      </c>
      <c r="D74" s="9"/>
      <c r="E74" s="9"/>
      <c r="F74" s="9"/>
    </row>
    <row r="75" spans="2:6" hidden="1" x14ac:dyDescent="0.35">
      <c r="B75" s="8">
        <v>67</v>
      </c>
      <c r="C75" s="9" t="str">
        <f>IF('Captura de Riesgos'!D75="","",'Captura de Riesgos'!D75)</f>
        <v/>
      </c>
      <c r="D75" s="9"/>
      <c r="E75" s="9"/>
      <c r="F75" s="9"/>
    </row>
    <row r="76" spans="2:6" hidden="1" x14ac:dyDescent="0.35">
      <c r="B76" s="8">
        <v>68</v>
      </c>
      <c r="C76" s="9" t="str">
        <f>IF('Captura de Riesgos'!D76="","",'Captura de Riesgos'!D76)</f>
        <v/>
      </c>
      <c r="D76" s="9"/>
      <c r="E76" s="9"/>
      <c r="F76" s="9"/>
    </row>
    <row r="77" spans="2:6" hidden="1" x14ac:dyDescent="0.35">
      <c r="B77" s="8">
        <v>69</v>
      </c>
      <c r="C77" s="9" t="str">
        <f>IF('Captura de Riesgos'!D77="","",'Captura de Riesgos'!D77)</f>
        <v/>
      </c>
      <c r="D77" s="9"/>
      <c r="E77" s="9"/>
      <c r="F77" s="9"/>
    </row>
    <row r="78" spans="2:6" hidden="1" x14ac:dyDescent="0.35">
      <c r="B78" s="8">
        <v>70</v>
      </c>
      <c r="C78" s="9" t="str">
        <f>IF('Captura de Riesgos'!D78="","",'Captura de Riesgos'!D78)</f>
        <v/>
      </c>
      <c r="D78" s="9"/>
      <c r="E78" s="9"/>
      <c r="F78" s="9"/>
    </row>
    <row r="79" spans="2:6" hidden="1" x14ac:dyDescent="0.35">
      <c r="B79" s="8">
        <v>71</v>
      </c>
      <c r="C79" s="9" t="str">
        <f>IF('Captura de Riesgos'!D79="","",'Captura de Riesgos'!D79)</f>
        <v/>
      </c>
      <c r="D79" s="9"/>
      <c r="E79" s="9"/>
      <c r="F79" s="9"/>
    </row>
    <row r="80" spans="2:6" hidden="1" x14ac:dyDescent="0.35">
      <c r="B80" s="8">
        <v>72</v>
      </c>
      <c r="C80" s="9" t="str">
        <f>IF('Captura de Riesgos'!D80="","",'Captura de Riesgos'!D80)</f>
        <v/>
      </c>
      <c r="D80" s="9"/>
      <c r="E80" s="9"/>
      <c r="F80" s="9"/>
    </row>
    <row r="81" spans="2:6" hidden="1" x14ac:dyDescent="0.35">
      <c r="B81" s="8">
        <v>73</v>
      </c>
      <c r="C81" s="9" t="str">
        <f>IF('Captura de Riesgos'!D81="","",'Captura de Riesgos'!D81)</f>
        <v/>
      </c>
      <c r="D81" s="9"/>
      <c r="E81" s="9"/>
      <c r="F81" s="9"/>
    </row>
    <row r="82" spans="2:6" hidden="1" x14ac:dyDescent="0.35">
      <c r="B82" s="8">
        <v>74</v>
      </c>
      <c r="C82" s="9" t="str">
        <f>IF('Captura de Riesgos'!D82="","",'Captura de Riesgos'!D82)</f>
        <v/>
      </c>
      <c r="D82" s="9"/>
      <c r="E82" s="9"/>
      <c r="F82" s="9"/>
    </row>
    <row r="83" spans="2:6" hidden="1" x14ac:dyDescent="0.35">
      <c r="B83" s="8">
        <v>75</v>
      </c>
      <c r="C83" s="9" t="str">
        <f>IF('Captura de Riesgos'!D83="","",'Captura de Riesgos'!D83)</f>
        <v/>
      </c>
      <c r="D83" s="9"/>
      <c r="E83" s="9"/>
      <c r="F83" s="9"/>
    </row>
    <row r="84" spans="2:6" hidden="1" x14ac:dyDescent="0.35">
      <c r="B84" s="8">
        <v>76</v>
      </c>
      <c r="C84" s="9" t="str">
        <f>IF('Captura de Riesgos'!D84="","",'Captura de Riesgos'!D84)</f>
        <v/>
      </c>
      <c r="D84" s="9"/>
      <c r="E84" s="9"/>
      <c r="F84" s="9"/>
    </row>
    <row r="85" spans="2:6" hidden="1" x14ac:dyDescent="0.35">
      <c r="B85" s="8">
        <v>77</v>
      </c>
      <c r="C85" s="9" t="str">
        <f>IF('Captura de Riesgos'!D85="","",'Captura de Riesgos'!D85)</f>
        <v/>
      </c>
      <c r="D85" s="9"/>
      <c r="E85" s="9"/>
      <c r="F85" s="9"/>
    </row>
    <row r="86" spans="2:6" hidden="1" x14ac:dyDescent="0.35">
      <c r="B86" s="8">
        <v>78</v>
      </c>
      <c r="C86" s="9" t="str">
        <f>IF('Captura de Riesgos'!D86="","",'Captura de Riesgos'!D86)</f>
        <v/>
      </c>
      <c r="D86" s="9"/>
      <c r="E86" s="9"/>
      <c r="F86" s="9"/>
    </row>
    <row r="87" spans="2:6" hidden="1" x14ac:dyDescent="0.35">
      <c r="B87" s="8">
        <v>79</v>
      </c>
      <c r="C87" s="9" t="str">
        <f>IF('Captura de Riesgos'!D87="","",'Captura de Riesgos'!D87)</f>
        <v/>
      </c>
      <c r="D87" s="9"/>
      <c r="E87" s="9"/>
      <c r="F87" s="9"/>
    </row>
    <row r="88" spans="2:6" hidden="1" x14ac:dyDescent="0.35">
      <c r="B88" s="8">
        <v>80</v>
      </c>
      <c r="C88" s="9" t="str">
        <f>IF('Captura de Riesgos'!D88="","",'Captura de Riesgos'!D88)</f>
        <v/>
      </c>
      <c r="D88" s="9"/>
      <c r="E88" s="9"/>
      <c r="F88" s="9"/>
    </row>
    <row r="89" spans="2:6" hidden="1" x14ac:dyDescent="0.35">
      <c r="B89" s="8">
        <v>81</v>
      </c>
      <c r="C89" s="9" t="str">
        <f>IF('Captura de Riesgos'!D89="","",'Captura de Riesgos'!D89)</f>
        <v/>
      </c>
      <c r="D89" s="9"/>
      <c r="E89" s="9"/>
      <c r="F89" s="9"/>
    </row>
    <row r="90" spans="2:6" hidden="1" x14ac:dyDescent="0.35">
      <c r="B90" s="8">
        <v>82</v>
      </c>
      <c r="C90" s="9" t="str">
        <f>IF('Captura de Riesgos'!D90="","",'Captura de Riesgos'!D90)</f>
        <v/>
      </c>
      <c r="D90" s="9"/>
      <c r="E90" s="9"/>
      <c r="F90" s="9"/>
    </row>
    <row r="91" spans="2:6" hidden="1" x14ac:dyDescent="0.35">
      <c r="B91" s="8">
        <v>83</v>
      </c>
      <c r="C91" s="9" t="str">
        <f>IF('Captura de Riesgos'!D91="","",'Captura de Riesgos'!D91)</f>
        <v/>
      </c>
      <c r="D91" s="9"/>
      <c r="E91" s="9"/>
      <c r="F91" s="9"/>
    </row>
    <row r="92" spans="2:6" hidden="1" x14ac:dyDescent="0.35">
      <c r="B92" s="8">
        <v>84</v>
      </c>
      <c r="C92" s="9" t="str">
        <f>IF('Captura de Riesgos'!D92="","",'Captura de Riesgos'!D92)</f>
        <v/>
      </c>
      <c r="D92" s="9"/>
      <c r="E92" s="9"/>
      <c r="F92" s="9"/>
    </row>
    <row r="93" spans="2:6" hidden="1" x14ac:dyDescent="0.35">
      <c r="B93" s="8">
        <v>85</v>
      </c>
      <c r="C93" s="9" t="str">
        <f>IF('Captura de Riesgos'!D93="","",'Captura de Riesgos'!D93)</f>
        <v/>
      </c>
      <c r="D93" s="9"/>
      <c r="E93" s="9"/>
      <c r="F93" s="9"/>
    </row>
    <row r="94" spans="2:6" hidden="1" x14ac:dyDescent="0.35">
      <c r="B94" s="8">
        <v>86</v>
      </c>
      <c r="C94" s="9" t="str">
        <f>IF('Captura de Riesgos'!D94="","",'Captura de Riesgos'!D94)</f>
        <v/>
      </c>
      <c r="D94" s="9"/>
      <c r="E94" s="9"/>
      <c r="F94" s="9"/>
    </row>
    <row r="95" spans="2:6" hidden="1" x14ac:dyDescent="0.35">
      <c r="B95" s="8">
        <v>87</v>
      </c>
      <c r="C95" s="9" t="str">
        <f>IF('Captura de Riesgos'!D95="","",'Captura de Riesgos'!D95)</f>
        <v/>
      </c>
      <c r="D95" s="9"/>
      <c r="E95" s="9"/>
      <c r="F95" s="9"/>
    </row>
    <row r="96" spans="2:6" hidden="1" x14ac:dyDescent="0.35">
      <c r="B96" s="8">
        <v>88</v>
      </c>
      <c r="C96" s="9" t="str">
        <f>IF('Captura de Riesgos'!D96="","",'Captura de Riesgos'!D96)</f>
        <v/>
      </c>
      <c r="D96" s="9"/>
      <c r="E96" s="9"/>
      <c r="F96" s="9"/>
    </row>
    <row r="97" spans="2:6" hidden="1" x14ac:dyDescent="0.35">
      <c r="B97" s="8">
        <v>89</v>
      </c>
      <c r="C97" s="9" t="str">
        <f>IF('Captura de Riesgos'!D97="","",'Captura de Riesgos'!D97)</f>
        <v/>
      </c>
      <c r="D97" s="9"/>
      <c r="E97" s="9"/>
      <c r="F97" s="9"/>
    </row>
    <row r="98" spans="2:6" hidden="1" x14ac:dyDescent="0.35">
      <c r="B98" s="8">
        <v>90</v>
      </c>
      <c r="C98" s="9" t="str">
        <f>IF('Captura de Riesgos'!D98="","",'Captura de Riesgos'!D98)</f>
        <v/>
      </c>
      <c r="D98" s="9"/>
      <c r="E98" s="9"/>
      <c r="F98" s="9"/>
    </row>
    <row r="99" spans="2:6" hidden="1" x14ac:dyDescent="0.35">
      <c r="B99" s="8">
        <v>91</v>
      </c>
      <c r="C99" s="9" t="str">
        <f>IF('Captura de Riesgos'!D99="","",'Captura de Riesgos'!D99)</f>
        <v/>
      </c>
      <c r="D99" s="9"/>
      <c r="E99" s="9"/>
      <c r="F99" s="9"/>
    </row>
    <row r="100" spans="2:6" hidden="1" x14ac:dyDescent="0.35">
      <c r="B100" s="8">
        <v>92</v>
      </c>
      <c r="C100" s="9" t="str">
        <f>IF('Captura de Riesgos'!D100="","",'Captura de Riesgos'!D100)</f>
        <v/>
      </c>
      <c r="D100" s="9"/>
      <c r="E100" s="9"/>
      <c r="F100" s="9"/>
    </row>
    <row r="101" spans="2:6" hidden="1" x14ac:dyDescent="0.35">
      <c r="B101" s="8">
        <v>93</v>
      </c>
      <c r="C101" s="9" t="str">
        <f>IF('Captura de Riesgos'!D101="","",'Captura de Riesgos'!D101)</f>
        <v/>
      </c>
      <c r="D101" s="9"/>
      <c r="E101" s="9"/>
      <c r="F101" s="9"/>
    </row>
    <row r="102" spans="2:6" hidden="1" x14ac:dyDescent="0.35">
      <c r="B102" s="8">
        <v>94</v>
      </c>
      <c r="C102" s="9" t="str">
        <f>IF('Captura de Riesgos'!D102="","",'Captura de Riesgos'!D102)</f>
        <v/>
      </c>
      <c r="D102" s="9"/>
      <c r="E102" s="9"/>
      <c r="F102" s="9"/>
    </row>
    <row r="103" spans="2:6" hidden="1" x14ac:dyDescent="0.35">
      <c r="B103" s="8">
        <v>95</v>
      </c>
      <c r="C103" s="9" t="str">
        <f>IF('Captura de Riesgos'!D103="","",'Captura de Riesgos'!D103)</f>
        <v/>
      </c>
      <c r="D103" s="9"/>
      <c r="E103" s="9"/>
      <c r="F103" s="9"/>
    </row>
    <row r="104" spans="2:6" hidden="1" x14ac:dyDescent="0.35">
      <c r="B104" s="8">
        <v>96</v>
      </c>
      <c r="C104" s="9" t="str">
        <f>IF('Captura de Riesgos'!D104="","",'Captura de Riesgos'!D104)</f>
        <v/>
      </c>
      <c r="D104" s="9"/>
      <c r="E104" s="9"/>
      <c r="F104" s="9"/>
    </row>
    <row r="105" spans="2:6" hidden="1" x14ac:dyDescent="0.35">
      <c r="B105" s="8">
        <v>97</v>
      </c>
      <c r="C105" s="9" t="str">
        <f>IF('Captura de Riesgos'!D105="","",'Captura de Riesgos'!D105)</f>
        <v/>
      </c>
      <c r="D105" s="9"/>
      <c r="E105" s="9"/>
      <c r="F105" s="9"/>
    </row>
    <row r="106" spans="2:6" hidden="1" x14ac:dyDescent="0.35">
      <c r="B106" s="8">
        <v>98</v>
      </c>
      <c r="C106" s="9" t="str">
        <f>IF('Captura de Riesgos'!D106="","",'Captura de Riesgos'!D106)</f>
        <v/>
      </c>
      <c r="D106" s="9"/>
      <c r="E106" s="9"/>
      <c r="F106" s="9"/>
    </row>
    <row r="107" spans="2:6" hidden="1" x14ac:dyDescent="0.35">
      <c r="B107" s="8">
        <v>99</v>
      </c>
      <c r="C107" s="9" t="str">
        <f>IF('Captura de Riesgos'!D107="","",'Captura de Riesgos'!D107)</f>
        <v/>
      </c>
      <c r="D107" s="9"/>
      <c r="E107" s="9"/>
      <c r="F107" s="9"/>
    </row>
    <row r="108" spans="2:6" hidden="1" x14ac:dyDescent="0.35">
      <c r="B108" s="8">
        <v>100</v>
      </c>
      <c r="C108" s="9" t="str">
        <f>IF('Captura de Riesgos'!D108="","",'Captura de Riesgos'!D108)</f>
        <v/>
      </c>
      <c r="D108" s="9"/>
      <c r="E108" s="9"/>
      <c r="F108" s="9"/>
    </row>
  </sheetData>
  <customSheetViews>
    <customSheetView guid="{FEB78FA3-F76F-466D-975D-34D65117687E}"/>
  </customSheetViews>
  <mergeCells count="2">
    <mergeCell ref="C2:F2"/>
    <mergeCell ref="D3:E3"/>
  </mergeCells>
  <dataValidations count="1">
    <dataValidation type="list" allowBlank="1" showInputMessage="1" showErrorMessage="1" errorTitle="Error de Captura" error="Solo pueden seleccionarse los análisis predeterminados de la lista." promptTitle="Ayuda de Captura" prompt="Seleccione o introduzca el tipo de análisis cuantitativo realizado para evaluar el riesgo." sqref="D9:D108" xr:uid="{00000000-0002-0000-0300-000000000000}">
      <formula1>TipoAnalisis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Menu">
                <anchor moveWithCells="1" sizeWithCells="1">
                  <from>
                    <xdr:col>5</xdr:col>
                    <xdr:colOff>2114550</xdr:colOff>
                    <xdr:row>5</xdr:row>
                    <xdr:rowOff>95250</xdr:rowOff>
                  </from>
                  <to>
                    <xdr:col>6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8"/>
  </sheetPr>
  <dimension ref="A1:L108"/>
  <sheetViews>
    <sheetView showGridLines="0" showRowColHeaders="0" topLeftCell="A6" workbookViewId="0">
      <selection activeCell="K9" sqref="K9"/>
    </sheetView>
  </sheetViews>
  <sheetFormatPr baseColWidth="10" defaultColWidth="0" defaultRowHeight="14.5" zeroHeight="1" x14ac:dyDescent="0.35"/>
  <cols>
    <col min="1" max="1" width="1.7265625" customWidth="1"/>
    <col min="2" max="2" width="5.453125" customWidth="1"/>
    <col min="3" max="3" width="32.453125" customWidth="1"/>
    <col min="4" max="4" width="18" customWidth="1"/>
    <col min="5" max="5" width="12.1796875" customWidth="1"/>
    <col min="6" max="6" width="10.453125" customWidth="1"/>
    <col min="7" max="7" width="12.453125" customWidth="1"/>
    <col min="8" max="8" width="13.1796875" customWidth="1"/>
    <col min="9" max="9" width="22.54296875" customWidth="1"/>
    <col min="10" max="10" width="16" customWidth="1"/>
    <col min="11" max="11" width="14.453125" customWidth="1"/>
    <col min="12" max="12" width="1.7265625" customWidth="1"/>
    <col min="13" max="16384" width="11.453125" hidden="1"/>
  </cols>
  <sheetData>
    <row r="1" spans="2:11" x14ac:dyDescent="0.35"/>
    <row r="2" spans="2:11" ht="21" x14ac:dyDescent="0.5">
      <c r="C2" s="23" t="s">
        <v>61</v>
      </c>
      <c r="D2" s="23"/>
      <c r="E2" s="23"/>
      <c r="F2" s="23"/>
      <c r="G2" s="23"/>
      <c r="H2" s="23"/>
      <c r="I2" s="23"/>
      <c r="J2" s="23"/>
      <c r="K2" s="23"/>
    </row>
    <row r="3" spans="2:11" x14ac:dyDescent="0.35"/>
    <row r="4" spans="2:11" ht="18.5" x14ac:dyDescent="0.45">
      <c r="C4" s="18" t="s">
        <v>66</v>
      </c>
      <c r="D4" s="25" t="str">
        <f>IF('Captura de Riesgos'!D3&lt;&gt;"",'Captura de Riesgos'!D3,"")</f>
        <v/>
      </c>
      <c r="E4" s="25"/>
      <c r="F4" s="25"/>
      <c r="G4" s="25"/>
      <c r="H4" s="25"/>
      <c r="I4" s="25"/>
      <c r="J4" s="25"/>
    </row>
    <row r="5" spans="2:11" x14ac:dyDescent="0.35"/>
    <row r="6" spans="2:11" x14ac:dyDescent="0.35"/>
    <row r="7" spans="2:11" x14ac:dyDescent="0.35"/>
    <row r="8" spans="2:11" s="6" customFormat="1" ht="29" x14ac:dyDescent="0.35">
      <c r="B8" s="5" t="s">
        <v>0</v>
      </c>
      <c r="C8" s="5" t="s">
        <v>2</v>
      </c>
      <c r="D8" s="5" t="s">
        <v>40</v>
      </c>
      <c r="E8" s="5" t="s">
        <v>41</v>
      </c>
      <c r="F8" s="5" t="s">
        <v>42</v>
      </c>
      <c r="G8" s="5" t="s">
        <v>43</v>
      </c>
      <c r="H8" s="5" t="s">
        <v>44</v>
      </c>
      <c r="I8" s="5" t="s">
        <v>45</v>
      </c>
      <c r="J8" s="5" t="s">
        <v>46</v>
      </c>
      <c r="K8" s="5" t="s">
        <v>47</v>
      </c>
    </row>
    <row r="9" spans="2:11" ht="29" x14ac:dyDescent="0.35">
      <c r="B9" s="4">
        <v>1</v>
      </c>
      <c r="C9" s="1" t="str">
        <f>IF('Captura de Riesgos'!D9="","",'Captura de Riesgos'!D9)</f>
        <v>Error humano</v>
      </c>
      <c r="D9" s="1" t="s">
        <v>50</v>
      </c>
      <c r="E9" s="1" t="s">
        <v>51</v>
      </c>
      <c r="F9" s="1" t="s">
        <v>55</v>
      </c>
      <c r="G9" s="1" t="s">
        <v>58</v>
      </c>
      <c r="H9" s="1" t="s">
        <v>76</v>
      </c>
      <c r="I9" s="1"/>
      <c r="J9" s="1" t="s">
        <v>77</v>
      </c>
      <c r="K9" s="1" t="s">
        <v>79</v>
      </c>
    </row>
    <row r="10" spans="2:11" ht="29" x14ac:dyDescent="0.35">
      <c r="B10" s="4">
        <v>2</v>
      </c>
      <c r="C10" s="1" t="str">
        <f>IF('Captura de Riesgos'!D10="","",'Captura de Riesgos'!D10)</f>
        <v>Enfermedad</v>
      </c>
      <c r="D10" s="1"/>
      <c r="E10" s="1"/>
      <c r="F10" s="1"/>
      <c r="G10" s="1"/>
      <c r="H10" s="1"/>
      <c r="I10" s="1"/>
      <c r="J10" s="1" t="s">
        <v>78</v>
      </c>
      <c r="K10" s="1"/>
    </row>
    <row r="11" spans="2:11" x14ac:dyDescent="0.35">
      <c r="B11" s="4">
        <v>3</v>
      </c>
      <c r="C11" s="1" t="str">
        <f>IF('Captura de Riesgos'!D11="","",'Captura de Riesgos'!D11)</f>
        <v>Sismo</v>
      </c>
      <c r="D11" s="1"/>
      <c r="E11" s="1"/>
      <c r="F11" s="1"/>
      <c r="G11" s="1"/>
      <c r="H11" s="1"/>
      <c r="I11" s="1"/>
      <c r="J11" s="1"/>
      <c r="K11" s="1"/>
    </row>
    <row r="12" spans="2:11" x14ac:dyDescent="0.35">
      <c r="B12" s="4">
        <v>4</v>
      </c>
      <c r="C12" s="1" t="str">
        <f>IF('Captura de Riesgos'!D12="","",'Captura de Riesgos'!D12)</f>
        <v/>
      </c>
      <c r="D12" s="1"/>
      <c r="E12" s="1"/>
      <c r="F12" s="1"/>
      <c r="G12" s="1"/>
      <c r="H12" s="1"/>
      <c r="I12" s="1"/>
      <c r="J12" s="1"/>
      <c r="K12" s="1"/>
    </row>
    <row r="13" spans="2:11" x14ac:dyDescent="0.35">
      <c r="B13" s="4">
        <v>5</v>
      </c>
      <c r="C13" s="1" t="str">
        <f>IF('Captura de Riesgos'!D13="","",'Captura de Riesgos'!D13)</f>
        <v/>
      </c>
      <c r="D13" s="1"/>
      <c r="E13" s="1"/>
      <c r="F13" s="1"/>
      <c r="G13" s="1"/>
      <c r="H13" s="1"/>
      <c r="I13" s="1"/>
      <c r="J13" s="1"/>
      <c r="K13" s="1"/>
    </row>
    <row r="14" spans="2:11" x14ac:dyDescent="0.35">
      <c r="B14" s="4">
        <v>6</v>
      </c>
      <c r="C14" s="1" t="str">
        <f>IF('Captura de Riesgos'!D14="","",'Captura de Riesgos'!D14)</f>
        <v/>
      </c>
      <c r="D14" s="1"/>
      <c r="E14" s="1"/>
      <c r="F14" s="1"/>
      <c r="G14" s="1"/>
      <c r="H14" s="1"/>
      <c r="I14" s="1"/>
      <c r="J14" s="1"/>
      <c r="K14" s="1"/>
    </row>
    <row r="15" spans="2:11" x14ac:dyDescent="0.35">
      <c r="B15" s="4">
        <v>7</v>
      </c>
      <c r="C15" s="1" t="str">
        <f>IF('Captura de Riesgos'!D15="","",'Captura de Riesgos'!D15)</f>
        <v/>
      </c>
      <c r="D15" s="1"/>
      <c r="E15" s="1"/>
      <c r="F15" s="1"/>
      <c r="G15" s="1"/>
      <c r="H15" s="1"/>
      <c r="I15" s="1"/>
      <c r="J15" s="1"/>
      <c r="K15" s="1"/>
    </row>
    <row r="16" spans="2:11" x14ac:dyDescent="0.35">
      <c r="B16" s="4">
        <v>8</v>
      </c>
      <c r="C16" s="1" t="str">
        <f>IF('Captura de Riesgos'!D16="","",'Captura de Riesgos'!D16)</f>
        <v/>
      </c>
      <c r="D16" s="1"/>
      <c r="E16" s="1"/>
      <c r="F16" s="1"/>
      <c r="G16" s="1"/>
      <c r="H16" s="1"/>
      <c r="I16" s="1"/>
      <c r="J16" s="1"/>
      <c r="K16" s="1"/>
    </row>
    <row r="17" spans="2:11" x14ac:dyDescent="0.35">
      <c r="B17" s="4">
        <v>9</v>
      </c>
      <c r="C17" s="1" t="str">
        <f>IF('Captura de Riesgos'!D17="","",'Captura de Riesgos'!D17)</f>
        <v/>
      </c>
      <c r="D17" s="1"/>
      <c r="E17" s="1"/>
      <c r="F17" s="1"/>
      <c r="G17" s="1"/>
      <c r="H17" s="1"/>
      <c r="I17" s="1"/>
      <c r="J17" s="1"/>
      <c r="K17" s="1"/>
    </row>
    <row r="18" spans="2:11" x14ac:dyDescent="0.35">
      <c r="B18" s="4">
        <v>10</v>
      </c>
      <c r="C18" s="1" t="str">
        <f>IF('Captura de Riesgos'!D18="","",'Captura de Riesgos'!D18)</f>
        <v/>
      </c>
      <c r="D18" s="1"/>
      <c r="E18" s="1"/>
      <c r="F18" s="1"/>
      <c r="G18" s="1"/>
      <c r="H18" s="1"/>
      <c r="I18" s="1"/>
      <c r="J18" s="1"/>
      <c r="K18" s="1"/>
    </row>
    <row r="19" spans="2:11" x14ac:dyDescent="0.35">
      <c r="B19" s="4">
        <v>11</v>
      </c>
      <c r="C19" s="1" t="str">
        <f>IF('Captura de Riesgos'!D19="","",'Captura de Riesgos'!D19)</f>
        <v/>
      </c>
      <c r="D19" s="1"/>
      <c r="E19" s="1"/>
      <c r="F19" s="1"/>
      <c r="G19" s="1"/>
      <c r="H19" s="1"/>
      <c r="I19" s="1"/>
      <c r="J19" s="1"/>
      <c r="K19" s="1"/>
    </row>
    <row r="20" spans="2:11" x14ac:dyDescent="0.35">
      <c r="B20" s="4">
        <v>12</v>
      </c>
      <c r="C20" s="1" t="str">
        <f>IF('Captura de Riesgos'!D20="","",'Captura de Riesgos'!D20)</f>
        <v/>
      </c>
      <c r="D20" s="1"/>
      <c r="E20" s="1"/>
      <c r="F20" s="1"/>
      <c r="G20" s="1"/>
      <c r="H20" s="1"/>
      <c r="I20" s="1"/>
      <c r="J20" s="1"/>
      <c r="K20" s="1"/>
    </row>
    <row r="21" spans="2:11" x14ac:dyDescent="0.35">
      <c r="B21" s="4">
        <v>13</v>
      </c>
      <c r="C21" s="1" t="str">
        <f>IF('Captura de Riesgos'!D21="","",'Captura de Riesgos'!D21)</f>
        <v/>
      </c>
      <c r="D21" s="1"/>
      <c r="E21" s="1"/>
      <c r="F21" s="1"/>
      <c r="G21" s="1"/>
      <c r="H21" s="1"/>
      <c r="I21" s="1"/>
      <c r="J21" s="1"/>
      <c r="K21" s="1"/>
    </row>
    <row r="22" spans="2:11" x14ac:dyDescent="0.35">
      <c r="B22" s="4">
        <v>14</v>
      </c>
      <c r="C22" s="1" t="str">
        <f>IF('Captura de Riesgos'!D22="","",'Captura de Riesgos'!D22)</f>
        <v/>
      </c>
      <c r="D22" s="1"/>
      <c r="E22" s="1"/>
      <c r="F22" s="1"/>
      <c r="G22" s="1"/>
      <c r="H22" s="1"/>
      <c r="I22" s="1"/>
      <c r="J22" s="1"/>
      <c r="K22" s="1"/>
    </row>
    <row r="23" spans="2:11" x14ac:dyDescent="0.35">
      <c r="B23" s="4">
        <v>15</v>
      </c>
      <c r="C23" s="1" t="str">
        <f>IF('Captura de Riesgos'!D23="","",'Captura de Riesgos'!D23)</f>
        <v/>
      </c>
      <c r="D23" s="1"/>
      <c r="E23" s="1"/>
      <c r="F23" s="1"/>
      <c r="G23" s="1"/>
      <c r="H23" s="1"/>
      <c r="I23" s="1"/>
      <c r="J23" s="1"/>
      <c r="K23" s="1"/>
    </row>
    <row r="24" spans="2:11" hidden="1" x14ac:dyDescent="0.35">
      <c r="B24" s="4">
        <v>16</v>
      </c>
      <c r="C24" t="str">
        <f>IF('Captura de Riesgos'!D24="","",'Captura de Riesgos'!D24)</f>
        <v/>
      </c>
    </row>
    <row r="25" spans="2:11" hidden="1" x14ac:dyDescent="0.35">
      <c r="B25" s="4">
        <v>17</v>
      </c>
      <c r="C25" t="str">
        <f>IF('Captura de Riesgos'!D25="","",'Captura de Riesgos'!D25)</f>
        <v/>
      </c>
    </row>
    <row r="26" spans="2:11" hidden="1" x14ac:dyDescent="0.35">
      <c r="B26" s="4">
        <v>18</v>
      </c>
      <c r="C26" t="str">
        <f>IF('Captura de Riesgos'!D26="","",'Captura de Riesgos'!D26)</f>
        <v/>
      </c>
    </row>
    <row r="27" spans="2:11" hidden="1" x14ac:dyDescent="0.35">
      <c r="B27" s="4">
        <v>19</v>
      </c>
      <c r="C27" t="str">
        <f>IF('Captura de Riesgos'!D27="","",'Captura de Riesgos'!D27)</f>
        <v/>
      </c>
    </row>
    <row r="28" spans="2:11" hidden="1" x14ac:dyDescent="0.35">
      <c r="B28" s="4">
        <v>20</v>
      </c>
      <c r="C28" t="str">
        <f>IF('Captura de Riesgos'!D28="","",'Captura de Riesgos'!D28)</f>
        <v/>
      </c>
    </row>
    <row r="29" spans="2:11" hidden="1" x14ac:dyDescent="0.35">
      <c r="B29" s="4">
        <v>21</v>
      </c>
      <c r="C29" t="str">
        <f>IF('Captura de Riesgos'!D29="","",'Captura de Riesgos'!D29)</f>
        <v/>
      </c>
    </row>
    <row r="30" spans="2:11" hidden="1" x14ac:dyDescent="0.35">
      <c r="B30" s="4">
        <v>22</v>
      </c>
      <c r="C30" t="str">
        <f>IF('Captura de Riesgos'!D30="","",'Captura de Riesgos'!D30)</f>
        <v/>
      </c>
    </row>
    <row r="31" spans="2:11" hidden="1" x14ac:dyDescent="0.35">
      <c r="B31" s="4">
        <v>23</v>
      </c>
      <c r="C31" t="str">
        <f>IF('Captura de Riesgos'!D31="","",'Captura de Riesgos'!D31)</f>
        <v/>
      </c>
    </row>
    <row r="32" spans="2:11" hidden="1" x14ac:dyDescent="0.35">
      <c r="B32" s="4">
        <v>24</v>
      </c>
      <c r="C32" t="str">
        <f>IF('Captura de Riesgos'!D32="","",'Captura de Riesgos'!D32)</f>
        <v/>
      </c>
    </row>
    <row r="33" spans="2:3" hidden="1" x14ac:dyDescent="0.35">
      <c r="B33" s="4">
        <v>25</v>
      </c>
      <c r="C33" t="str">
        <f>IF('Captura de Riesgos'!D33="","",'Captura de Riesgos'!D33)</f>
        <v/>
      </c>
    </row>
    <row r="34" spans="2:3" hidden="1" x14ac:dyDescent="0.35">
      <c r="B34" s="4">
        <v>26</v>
      </c>
      <c r="C34" t="str">
        <f>IF('Captura de Riesgos'!D34="","",'Captura de Riesgos'!D34)</f>
        <v/>
      </c>
    </row>
    <row r="35" spans="2:3" hidden="1" x14ac:dyDescent="0.35">
      <c r="B35" s="4">
        <v>27</v>
      </c>
      <c r="C35" t="str">
        <f>IF('Captura de Riesgos'!D35="","",'Captura de Riesgos'!D35)</f>
        <v/>
      </c>
    </row>
    <row r="36" spans="2:3" hidden="1" x14ac:dyDescent="0.35">
      <c r="B36" s="4">
        <v>28</v>
      </c>
      <c r="C36" t="str">
        <f>IF('Captura de Riesgos'!D36="","",'Captura de Riesgos'!D36)</f>
        <v/>
      </c>
    </row>
    <row r="37" spans="2:3" hidden="1" x14ac:dyDescent="0.35">
      <c r="B37" s="4">
        <v>29</v>
      </c>
      <c r="C37" t="str">
        <f>IF('Captura de Riesgos'!D37="","",'Captura de Riesgos'!D37)</f>
        <v/>
      </c>
    </row>
    <row r="38" spans="2:3" hidden="1" x14ac:dyDescent="0.35">
      <c r="B38" s="4">
        <v>30</v>
      </c>
      <c r="C38" t="str">
        <f>IF('Captura de Riesgos'!D38="","",'Captura de Riesgos'!D38)</f>
        <v/>
      </c>
    </row>
    <row r="39" spans="2:3" hidden="1" x14ac:dyDescent="0.35">
      <c r="B39" s="4">
        <v>31</v>
      </c>
      <c r="C39" t="str">
        <f>IF('Captura de Riesgos'!D39="","",'Captura de Riesgos'!D39)</f>
        <v/>
      </c>
    </row>
    <row r="40" spans="2:3" hidden="1" x14ac:dyDescent="0.35">
      <c r="B40" s="4">
        <v>32</v>
      </c>
      <c r="C40" t="str">
        <f>IF('Captura de Riesgos'!D40="","",'Captura de Riesgos'!D40)</f>
        <v/>
      </c>
    </row>
    <row r="41" spans="2:3" hidden="1" x14ac:dyDescent="0.35">
      <c r="B41" s="4">
        <v>33</v>
      </c>
      <c r="C41" t="str">
        <f>IF('Captura de Riesgos'!D41="","",'Captura de Riesgos'!D41)</f>
        <v/>
      </c>
    </row>
    <row r="42" spans="2:3" hidden="1" x14ac:dyDescent="0.35">
      <c r="B42" s="4">
        <v>34</v>
      </c>
      <c r="C42" t="str">
        <f>IF('Captura de Riesgos'!D42="","",'Captura de Riesgos'!D42)</f>
        <v/>
      </c>
    </row>
    <row r="43" spans="2:3" hidden="1" x14ac:dyDescent="0.35">
      <c r="B43" s="4">
        <v>35</v>
      </c>
      <c r="C43" t="str">
        <f>IF('Captura de Riesgos'!D43="","",'Captura de Riesgos'!D43)</f>
        <v/>
      </c>
    </row>
    <row r="44" spans="2:3" hidden="1" x14ac:dyDescent="0.35">
      <c r="B44" s="4">
        <v>36</v>
      </c>
      <c r="C44" t="str">
        <f>IF('Captura de Riesgos'!D44="","",'Captura de Riesgos'!D44)</f>
        <v/>
      </c>
    </row>
    <row r="45" spans="2:3" hidden="1" x14ac:dyDescent="0.35">
      <c r="B45" s="4">
        <v>37</v>
      </c>
      <c r="C45" t="str">
        <f>IF('Captura de Riesgos'!D45="","",'Captura de Riesgos'!D45)</f>
        <v/>
      </c>
    </row>
    <row r="46" spans="2:3" hidden="1" x14ac:dyDescent="0.35">
      <c r="B46" s="4">
        <v>38</v>
      </c>
      <c r="C46" t="str">
        <f>IF('Captura de Riesgos'!D46="","",'Captura de Riesgos'!D46)</f>
        <v/>
      </c>
    </row>
    <row r="47" spans="2:3" hidden="1" x14ac:dyDescent="0.35">
      <c r="B47" s="4">
        <v>39</v>
      </c>
      <c r="C47" t="str">
        <f>IF('Captura de Riesgos'!D47="","",'Captura de Riesgos'!D47)</f>
        <v/>
      </c>
    </row>
    <row r="48" spans="2:3" hidden="1" x14ac:dyDescent="0.35">
      <c r="B48" s="4">
        <v>40</v>
      </c>
      <c r="C48" t="str">
        <f>IF('Captura de Riesgos'!D48="","",'Captura de Riesgos'!D48)</f>
        <v/>
      </c>
    </row>
    <row r="49" spans="2:3" hidden="1" x14ac:dyDescent="0.35">
      <c r="B49" s="4">
        <v>41</v>
      </c>
      <c r="C49" t="str">
        <f>IF('Captura de Riesgos'!D49="","",'Captura de Riesgos'!D49)</f>
        <v/>
      </c>
    </row>
    <row r="50" spans="2:3" hidden="1" x14ac:dyDescent="0.35">
      <c r="B50" s="4">
        <v>42</v>
      </c>
      <c r="C50" t="str">
        <f>IF('Captura de Riesgos'!D50="","",'Captura de Riesgos'!D50)</f>
        <v/>
      </c>
    </row>
    <row r="51" spans="2:3" hidden="1" x14ac:dyDescent="0.35">
      <c r="B51" s="4">
        <v>43</v>
      </c>
      <c r="C51" t="str">
        <f>IF('Captura de Riesgos'!D51="","",'Captura de Riesgos'!D51)</f>
        <v/>
      </c>
    </row>
    <row r="52" spans="2:3" hidden="1" x14ac:dyDescent="0.35">
      <c r="B52" s="4">
        <v>44</v>
      </c>
      <c r="C52" t="str">
        <f>IF('Captura de Riesgos'!D52="","",'Captura de Riesgos'!D52)</f>
        <v/>
      </c>
    </row>
    <row r="53" spans="2:3" hidden="1" x14ac:dyDescent="0.35">
      <c r="B53" s="4">
        <v>45</v>
      </c>
      <c r="C53" t="str">
        <f>IF('Captura de Riesgos'!D53="","",'Captura de Riesgos'!D53)</f>
        <v/>
      </c>
    </row>
    <row r="54" spans="2:3" hidden="1" x14ac:dyDescent="0.35">
      <c r="B54" s="4">
        <v>46</v>
      </c>
      <c r="C54" t="str">
        <f>IF('Captura de Riesgos'!D54="","",'Captura de Riesgos'!D54)</f>
        <v/>
      </c>
    </row>
    <row r="55" spans="2:3" hidden="1" x14ac:dyDescent="0.35">
      <c r="B55" s="4">
        <v>47</v>
      </c>
      <c r="C55" t="str">
        <f>IF('Captura de Riesgos'!D55="","",'Captura de Riesgos'!D55)</f>
        <v/>
      </c>
    </row>
    <row r="56" spans="2:3" hidden="1" x14ac:dyDescent="0.35">
      <c r="B56" s="4">
        <v>48</v>
      </c>
      <c r="C56" t="str">
        <f>IF('Captura de Riesgos'!D56="","",'Captura de Riesgos'!D56)</f>
        <v/>
      </c>
    </row>
    <row r="57" spans="2:3" hidden="1" x14ac:dyDescent="0.35">
      <c r="B57" s="4">
        <v>49</v>
      </c>
      <c r="C57" t="str">
        <f>IF('Captura de Riesgos'!D57="","",'Captura de Riesgos'!D57)</f>
        <v/>
      </c>
    </row>
    <row r="58" spans="2:3" hidden="1" x14ac:dyDescent="0.35">
      <c r="B58" s="4">
        <v>50</v>
      </c>
      <c r="C58" t="str">
        <f>IF('Captura de Riesgos'!D58="","",'Captura de Riesgos'!D58)</f>
        <v/>
      </c>
    </row>
    <row r="59" spans="2:3" hidden="1" x14ac:dyDescent="0.35">
      <c r="B59" s="4">
        <v>51</v>
      </c>
      <c r="C59" t="str">
        <f>IF('Captura de Riesgos'!D59="","",'Captura de Riesgos'!D59)</f>
        <v/>
      </c>
    </row>
    <row r="60" spans="2:3" hidden="1" x14ac:dyDescent="0.35">
      <c r="B60" s="4">
        <v>52</v>
      </c>
      <c r="C60" t="str">
        <f>IF('Captura de Riesgos'!D60="","",'Captura de Riesgos'!D60)</f>
        <v/>
      </c>
    </row>
    <row r="61" spans="2:3" hidden="1" x14ac:dyDescent="0.35">
      <c r="B61" s="4">
        <v>53</v>
      </c>
      <c r="C61" t="str">
        <f>IF('Captura de Riesgos'!D61="","",'Captura de Riesgos'!D61)</f>
        <v/>
      </c>
    </row>
    <row r="62" spans="2:3" hidden="1" x14ac:dyDescent="0.35">
      <c r="B62" s="4">
        <v>54</v>
      </c>
      <c r="C62" t="str">
        <f>IF('Captura de Riesgos'!D62="","",'Captura de Riesgos'!D62)</f>
        <v/>
      </c>
    </row>
    <row r="63" spans="2:3" hidden="1" x14ac:dyDescent="0.35">
      <c r="B63" s="4">
        <v>55</v>
      </c>
      <c r="C63" t="str">
        <f>IF('Captura de Riesgos'!D63="","",'Captura de Riesgos'!D63)</f>
        <v/>
      </c>
    </row>
    <row r="64" spans="2:3" hidden="1" x14ac:dyDescent="0.35">
      <c r="B64" s="4">
        <v>56</v>
      </c>
      <c r="C64" t="str">
        <f>IF('Captura de Riesgos'!D64="","",'Captura de Riesgos'!D64)</f>
        <v/>
      </c>
    </row>
    <row r="65" spans="2:3" hidden="1" x14ac:dyDescent="0.35">
      <c r="B65" s="4">
        <v>57</v>
      </c>
      <c r="C65" t="str">
        <f>IF('Captura de Riesgos'!D65="","",'Captura de Riesgos'!D65)</f>
        <v/>
      </c>
    </row>
    <row r="66" spans="2:3" hidden="1" x14ac:dyDescent="0.35">
      <c r="B66" s="4">
        <v>58</v>
      </c>
      <c r="C66" t="str">
        <f>IF('Captura de Riesgos'!D66="","",'Captura de Riesgos'!D66)</f>
        <v/>
      </c>
    </row>
    <row r="67" spans="2:3" hidden="1" x14ac:dyDescent="0.35">
      <c r="B67" s="4">
        <v>59</v>
      </c>
      <c r="C67" t="str">
        <f>IF('Captura de Riesgos'!D67="","",'Captura de Riesgos'!D67)</f>
        <v/>
      </c>
    </row>
    <row r="68" spans="2:3" hidden="1" x14ac:dyDescent="0.35">
      <c r="B68" s="4">
        <v>60</v>
      </c>
      <c r="C68" t="str">
        <f>IF('Captura de Riesgos'!D68="","",'Captura de Riesgos'!D68)</f>
        <v/>
      </c>
    </row>
    <row r="69" spans="2:3" hidden="1" x14ac:dyDescent="0.35">
      <c r="B69" s="4">
        <v>61</v>
      </c>
      <c r="C69" t="str">
        <f>IF('Captura de Riesgos'!D69="","",'Captura de Riesgos'!D69)</f>
        <v/>
      </c>
    </row>
    <row r="70" spans="2:3" hidden="1" x14ac:dyDescent="0.35">
      <c r="B70" s="4">
        <v>62</v>
      </c>
      <c r="C70" t="str">
        <f>IF('Captura de Riesgos'!D70="","",'Captura de Riesgos'!D70)</f>
        <v/>
      </c>
    </row>
    <row r="71" spans="2:3" hidden="1" x14ac:dyDescent="0.35">
      <c r="B71" s="4">
        <v>63</v>
      </c>
      <c r="C71" t="str">
        <f>IF('Captura de Riesgos'!D71="","",'Captura de Riesgos'!D71)</f>
        <v/>
      </c>
    </row>
    <row r="72" spans="2:3" hidden="1" x14ac:dyDescent="0.35">
      <c r="B72" s="4">
        <v>64</v>
      </c>
      <c r="C72" t="str">
        <f>IF('Captura de Riesgos'!D72="","",'Captura de Riesgos'!D72)</f>
        <v/>
      </c>
    </row>
    <row r="73" spans="2:3" hidden="1" x14ac:dyDescent="0.35">
      <c r="B73" s="4">
        <v>65</v>
      </c>
      <c r="C73" t="str">
        <f>IF('Captura de Riesgos'!D73="","",'Captura de Riesgos'!D73)</f>
        <v/>
      </c>
    </row>
    <row r="74" spans="2:3" hidden="1" x14ac:dyDescent="0.35">
      <c r="B74" s="4">
        <v>66</v>
      </c>
      <c r="C74" t="str">
        <f>IF('Captura de Riesgos'!D74="","",'Captura de Riesgos'!D74)</f>
        <v/>
      </c>
    </row>
    <row r="75" spans="2:3" hidden="1" x14ac:dyDescent="0.35">
      <c r="B75" s="4">
        <v>67</v>
      </c>
      <c r="C75" t="str">
        <f>IF('Captura de Riesgos'!D75="","",'Captura de Riesgos'!D75)</f>
        <v/>
      </c>
    </row>
    <row r="76" spans="2:3" hidden="1" x14ac:dyDescent="0.35">
      <c r="B76" s="4">
        <v>68</v>
      </c>
      <c r="C76" t="str">
        <f>IF('Captura de Riesgos'!D76="","",'Captura de Riesgos'!D76)</f>
        <v/>
      </c>
    </row>
    <row r="77" spans="2:3" hidden="1" x14ac:dyDescent="0.35">
      <c r="B77" s="4">
        <v>69</v>
      </c>
      <c r="C77" t="str">
        <f>IF('Captura de Riesgos'!D77="","",'Captura de Riesgos'!D77)</f>
        <v/>
      </c>
    </row>
    <row r="78" spans="2:3" hidden="1" x14ac:dyDescent="0.35">
      <c r="B78" s="4">
        <v>70</v>
      </c>
      <c r="C78" t="str">
        <f>IF('Captura de Riesgos'!D78="","",'Captura de Riesgos'!D78)</f>
        <v/>
      </c>
    </row>
    <row r="79" spans="2:3" hidden="1" x14ac:dyDescent="0.35">
      <c r="B79" s="4">
        <v>71</v>
      </c>
      <c r="C79" t="str">
        <f>IF('Captura de Riesgos'!D79="","",'Captura de Riesgos'!D79)</f>
        <v/>
      </c>
    </row>
    <row r="80" spans="2:3" hidden="1" x14ac:dyDescent="0.35">
      <c r="B80" s="4">
        <v>72</v>
      </c>
      <c r="C80" t="str">
        <f>IF('Captura de Riesgos'!D80="","",'Captura de Riesgos'!D80)</f>
        <v/>
      </c>
    </row>
    <row r="81" spans="2:3" hidden="1" x14ac:dyDescent="0.35">
      <c r="B81" s="4">
        <v>73</v>
      </c>
      <c r="C81" t="str">
        <f>IF('Captura de Riesgos'!D81="","",'Captura de Riesgos'!D81)</f>
        <v/>
      </c>
    </row>
    <row r="82" spans="2:3" hidden="1" x14ac:dyDescent="0.35">
      <c r="B82" s="4">
        <v>74</v>
      </c>
      <c r="C82" t="str">
        <f>IF('Captura de Riesgos'!D82="","",'Captura de Riesgos'!D82)</f>
        <v/>
      </c>
    </row>
    <row r="83" spans="2:3" hidden="1" x14ac:dyDescent="0.35">
      <c r="B83" s="4">
        <v>75</v>
      </c>
      <c r="C83" t="str">
        <f>IF('Captura de Riesgos'!D83="","",'Captura de Riesgos'!D83)</f>
        <v/>
      </c>
    </row>
    <row r="84" spans="2:3" hidden="1" x14ac:dyDescent="0.35">
      <c r="B84" s="4">
        <v>76</v>
      </c>
      <c r="C84" t="str">
        <f>IF('Captura de Riesgos'!D84="","",'Captura de Riesgos'!D84)</f>
        <v/>
      </c>
    </row>
    <row r="85" spans="2:3" hidden="1" x14ac:dyDescent="0.35">
      <c r="B85" s="4">
        <v>77</v>
      </c>
      <c r="C85" t="str">
        <f>IF('Captura de Riesgos'!D85="","",'Captura de Riesgos'!D85)</f>
        <v/>
      </c>
    </row>
    <row r="86" spans="2:3" hidden="1" x14ac:dyDescent="0.35">
      <c r="B86" s="4">
        <v>78</v>
      </c>
      <c r="C86" t="str">
        <f>IF('Captura de Riesgos'!D86="","",'Captura de Riesgos'!D86)</f>
        <v/>
      </c>
    </row>
    <row r="87" spans="2:3" hidden="1" x14ac:dyDescent="0.35">
      <c r="B87" s="4">
        <v>79</v>
      </c>
      <c r="C87" t="str">
        <f>IF('Captura de Riesgos'!D87="","",'Captura de Riesgos'!D87)</f>
        <v/>
      </c>
    </row>
    <row r="88" spans="2:3" hidden="1" x14ac:dyDescent="0.35">
      <c r="B88" s="4">
        <v>80</v>
      </c>
      <c r="C88" t="str">
        <f>IF('Captura de Riesgos'!D88="","",'Captura de Riesgos'!D88)</f>
        <v/>
      </c>
    </row>
    <row r="89" spans="2:3" hidden="1" x14ac:dyDescent="0.35">
      <c r="B89" s="4">
        <v>81</v>
      </c>
      <c r="C89" t="str">
        <f>IF('Captura de Riesgos'!D89="","",'Captura de Riesgos'!D89)</f>
        <v/>
      </c>
    </row>
    <row r="90" spans="2:3" hidden="1" x14ac:dyDescent="0.35">
      <c r="B90" s="4">
        <v>82</v>
      </c>
      <c r="C90" t="str">
        <f>IF('Captura de Riesgos'!D90="","",'Captura de Riesgos'!D90)</f>
        <v/>
      </c>
    </row>
    <row r="91" spans="2:3" hidden="1" x14ac:dyDescent="0.35">
      <c r="B91" s="4">
        <v>83</v>
      </c>
      <c r="C91" t="str">
        <f>IF('Captura de Riesgos'!D91="","",'Captura de Riesgos'!D91)</f>
        <v/>
      </c>
    </row>
    <row r="92" spans="2:3" hidden="1" x14ac:dyDescent="0.35">
      <c r="B92" s="4">
        <v>84</v>
      </c>
      <c r="C92" t="str">
        <f>IF('Captura de Riesgos'!D92="","",'Captura de Riesgos'!D92)</f>
        <v/>
      </c>
    </row>
    <row r="93" spans="2:3" hidden="1" x14ac:dyDescent="0.35">
      <c r="B93" s="4">
        <v>85</v>
      </c>
      <c r="C93" t="str">
        <f>IF('Captura de Riesgos'!D93="","",'Captura de Riesgos'!D93)</f>
        <v/>
      </c>
    </row>
    <row r="94" spans="2:3" hidden="1" x14ac:dyDescent="0.35">
      <c r="B94" s="4">
        <v>86</v>
      </c>
      <c r="C94" t="str">
        <f>IF('Captura de Riesgos'!D94="","",'Captura de Riesgos'!D94)</f>
        <v/>
      </c>
    </row>
    <row r="95" spans="2:3" hidden="1" x14ac:dyDescent="0.35">
      <c r="B95" s="4">
        <v>87</v>
      </c>
      <c r="C95" t="str">
        <f>IF('Captura de Riesgos'!D95="","",'Captura de Riesgos'!D95)</f>
        <v/>
      </c>
    </row>
    <row r="96" spans="2:3" hidden="1" x14ac:dyDescent="0.35">
      <c r="B96" s="4">
        <v>88</v>
      </c>
      <c r="C96" t="str">
        <f>IF('Captura de Riesgos'!D96="","",'Captura de Riesgos'!D96)</f>
        <v/>
      </c>
    </row>
    <row r="97" spans="2:3" hidden="1" x14ac:dyDescent="0.35">
      <c r="B97" s="4">
        <v>89</v>
      </c>
      <c r="C97" t="str">
        <f>IF('Captura de Riesgos'!D97="","",'Captura de Riesgos'!D97)</f>
        <v/>
      </c>
    </row>
    <row r="98" spans="2:3" hidden="1" x14ac:dyDescent="0.35">
      <c r="B98" s="4">
        <v>90</v>
      </c>
      <c r="C98" t="str">
        <f>IF('Captura de Riesgos'!D98="","",'Captura de Riesgos'!D98)</f>
        <v/>
      </c>
    </row>
    <row r="99" spans="2:3" hidden="1" x14ac:dyDescent="0.35">
      <c r="B99" s="4">
        <v>91</v>
      </c>
      <c r="C99" t="str">
        <f>IF('Captura de Riesgos'!D99="","",'Captura de Riesgos'!D99)</f>
        <v/>
      </c>
    </row>
    <row r="100" spans="2:3" hidden="1" x14ac:dyDescent="0.35">
      <c r="B100" s="4">
        <v>92</v>
      </c>
      <c r="C100" t="str">
        <f>IF('Captura de Riesgos'!D100="","",'Captura de Riesgos'!D100)</f>
        <v/>
      </c>
    </row>
    <row r="101" spans="2:3" hidden="1" x14ac:dyDescent="0.35">
      <c r="B101" s="4">
        <v>93</v>
      </c>
      <c r="C101" t="str">
        <f>IF('Captura de Riesgos'!D101="","",'Captura de Riesgos'!D101)</f>
        <v/>
      </c>
    </row>
    <row r="102" spans="2:3" hidden="1" x14ac:dyDescent="0.35">
      <c r="B102" s="4">
        <v>94</v>
      </c>
      <c r="C102" t="str">
        <f>IF('Captura de Riesgos'!D102="","",'Captura de Riesgos'!D102)</f>
        <v/>
      </c>
    </row>
    <row r="103" spans="2:3" hidden="1" x14ac:dyDescent="0.35">
      <c r="B103" s="4">
        <v>95</v>
      </c>
      <c r="C103" t="str">
        <f>IF('Captura de Riesgos'!D103="","",'Captura de Riesgos'!D103)</f>
        <v/>
      </c>
    </row>
    <row r="104" spans="2:3" hidden="1" x14ac:dyDescent="0.35">
      <c r="B104" s="4">
        <v>96</v>
      </c>
      <c r="C104" t="str">
        <f>IF('Captura de Riesgos'!D104="","",'Captura de Riesgos'!D104)</f>
        <v/>
      </c>
    </row>
    <row r="105" spans="2:3" hidden="1" x14ac:dyDescent="0.35">
      <c r="B105" s="4">
        <v>97</v>
      </c>
      <c r="C105" t="str">
        <f>IF('Captura de Riesgos'!D105="","",'Captura de Riesgos'!D105)</f>
        <v/>
      </c>
    </row>
    <row r="106" spans="2:3" hidden="1" x14ac:dyDescent="0.35">
      <c r="B106" s="4">
        <v>98</v>
      </c>
      <c r="C106" t="str">
        <f>IF('Captura de Riesgos'!D106="","",'Captura de Riesgos'!D106)</f>
        <v/>
      </c>
    </row>
    <row r="107" spans="2:3" hidden="1" x14ac:dyDescent="0.35">
      <c r="B107" s="4">
        <v>99</v>
      </c>
      <c r="C107" t="str">
        <f>IF('Captura de Riesgos'!D107="","",'Captura de Riesgos'!D107)</f>
        <v/>
      </c>
    </row>
    <row r="108" spans="2:3" hidden="1" x14ac:dyDescent="0.35">
      <c r="B108" s="4">
        <v>100</v>
      </c>
      <c r="C108" t="str">
        <f>IF('Captura de Riesgos'!D108="","",'Captura de Riesgos'!D108)</f>
        <v/>
      </c>
    </row>
  </sheetData>
  <customSheetViews>
    <customSheetView guid="{FEB78FA3-F76F-466D-975D-34D65117687E}"/>
  </customSheetViews>
  <mergeCells count="2">
    <mergeCell ref="C2:K2"/>
    <mergeCell ref="D4:J4"/>
  </mergeCells>
  <dataValidations count="4">
    <dataValidation type="list" allowBlank="1" showInputMessage="1" showErrorMessage="1" errorTitle="Error de Captura" error="Sólo puede seleccionarse un tipo de análisis existente en la lista predeterminada." promptTitle="Ayuda de Captura" prompt="Seleccione el Tipo de Análisis que se aplicó al Riesgo." sqref="D9:D108" xr:uid="{00000000-0002-0000-0400-000000000000}">
      <formula1>AnalisisAplicado</formula1>
    </dataValidation>
    <dataValidation type="list" allowBlank="1" showInputMessage="1" showErrorMessage="1" errorTitle="Error de Captura" error="Sólo puede seleccionarse una respuesta predeterminada." promptTitle="Ayuda de Captura" prompt="Seleccione la respuesta que obtuvo el Riesgo" sqref="E9:E108" xr:uid="{00000000-0002-0000-0400-000001000000}">
      <formula1>Respuesta</formula1>
    </dataValidation>
    <dataValidation type="list" allowBlank="1" showInputMessage="1" showErrorMessage="1" errorTitle="Error de Captura" error="Sólo puede seleccionar un estatus predeterminado." promptTitle="Ayuda de Captura" prompt="Seleccione el estatus actual del Riesgo." sqref="F9:F108" xr:uid="{00000000-0002-0000-0400-000002000000}">
      <formula1>Estatus</formula1>
    </dataValidation>
    <dataValidation type="list" allowBlank="1" showInputMessage="1" showErrorMessage="1" errorTitle="Error de Captura" error="Sólo puede seleccionar una prioridad predeterminada." promptTitle="Ayuda de Captura" prompt="Seleccione la prioridad que tiene el Riesgo dentro del Plan." sqref="G9:G108" xr:uid="{00000000-0002-0000-0400-000003000000}">
      <formula1>Prioridad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Menu">
                <anchor moveWithCells="1" sizeWithCells="1">
                  <from>
                    <xdr:col>10</xdr:col>
                    <xdr:colOff>222250</xdr:colOff>
                    <xdr:row>5</xdr:row>
                    <xdr:rowOff>38100</xdr:rowOff>
                  </from>
                  <to>
                    <xdr:col>10</xdr:col>
                    <xdr:colOff>946150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5"/>
  </sheetPr>
  <dimension ref="A1:XEZ26"/>
  <sheetViews>
    <sheetView showGridLines="0" showRowColHeaders="0" tabSelected="1" topLeftCell="A6" workbookViewId="0">
      <selection activeCell="B9" sqref="B9:B26"/>
    </sheetView>
  </sheetViews>
  <sheetFormatPr baseColWidth="10" defaultColWidth="0" defaultRowHeight="14.5" zeroHeight="1" x14ac:dyDescent="0.35"/>
  <cols>
    <col min="1" max="1" width="1.7265625" customWidth="1"/>
    <col min="2" max="2" width="37" bestFit="1" customWidth="1"/>
    <col min="3" max="3" width="76.54296875" bestFit="1" customWidth="1"/>
    <col min="4" max="4" width="1.7265625" customWidth="1"/>
    <col min="5" max="16378" width="11.453125" hidden="1"/>
    <col min="16381" max="16384" width="11.453125" hidden="1"/>
  </cols>
  <sheetData>
    <row r="1" spans="2:3" x14ac:dyDescent="0.35"/>
    <row r="2" spans="2:3" x14ac:dyDescent="0.35"/>
    <row r="3" spans="2:3" ht="21" x14ac:dyDescent="0.5">
      <c r="B3" s="23" t="s">
        <v>5</v>
      </c>
      <c r="C3" s="23"/>
    </row>
    <row r="4" spans="2:3" ht="21" x14ac:dyDescent="0.5">
      <c r="B4" s="26" t="s">
        <v>67</v>
      </c>
      <c r="C4" s="27"/>
    </row>
    <row r="5" spans="2:3" ht="21" x14ac:dyDescent="0.5">
      <c r="B5" s="26" t="s">
        <v>68</v>
      </c>
      <c r="C5" s="26"/>
    </row>
    <row r="6" spans="2:3" x14ac:dyDescent="0.35"/>
    <row r="7" spans="2:3" x14ac:dyDescent="0.35"/>
    <row r="8" spans="2:3" x14ac:dyDescent="0.35">
      <c r="B8" s="3" t="s">
        <v>24</v>
      </c>
      <c r="C8" s="3" t="s">
        <v>25</v>
      </c>
    </row>
    <row r="9" spans="2:3" x14ac:dyDescent="0.35">
      <c r="C9" t="s">
        <v>80</v>
      </c>
    </row>
    <row r="10" spans="2:3" x14ac:dyDescent="0.35">
      <c r="C10" t="s">
        <v>26</v>
      </c>
    </row>
    <row r="11" spans="2:3" x14ac:dyDescent="0.35">
      <c r="C11" t="s">
        <v>27</v>
      </c>
    </row>
    <row r="12" spans="2:3" x14ac:dyDescent="0.35">
      <c r="C12" t="s">
        <v>69</v>
      </c>
    </row>
    <row r="13" spans="2:3" x14ac:dyDescent="0.35">
      <c r="C13" t="s">
        <v>28</v>
      </c>
    </row>
    <row r="14" spans="2:3" x14ac:dyDescent="0.35">
      <c r="C14" t="s">
        <v>28</v>
      </c>
    </row>
    <row r="15" spans="2:3" x14ac:dyDescent="0.35">
      <c r="C15" t="s">
        <v>70</v>
      </c>
    </row>
    <row r="16" spans="2:3" x14ac:dyDescent="0.35">
      <c r="C16" t="s">
        <v>71</v>
      </c>
    </row>
    <row r="17" spans="3:3" x14ac:dyDescent="0.35">
      <c r="C17" t="s">
        <v>72</v>
      </c>
    </row>
    <row r="18" spans="3:3" x14ac:dyDescent="0.35">
      <c r="C18" t="s">
        <v>73</v>
      </c>
    </row>
    <row r="19" spans="3:3" x14ac:dyDescent="0.35">
      <c r="C19" t="s">
        <v>33</v>
      </c>
    </row>
    <row r="20" spans="3:3" x14ac:dyDescent="0.35">
      <c r="C20" t="s">
        <v>29</v>
      </c>
    </row>
    <row r="21" spans="3:3" x14ac:dyDescent="0.35">
      <c r="C21" t="s">
        <v>29</v>
      </c>
    </row>
    <row r="22" spans="3:3" x14ac:dyDescent="0.35">
      <c r="C22" t="s">
        <v>29</v>
      </c>
    </row>
    <row r="23" spans="3:3" x14ac:dyDescent="0.35">
      <c r="C23" t="s">
        <v>30</v>
      </c>
    </row>
    <row r="24" spans="3:3" x14ac:dyDescent="0.35">
      <c r="C24" t="s">
        <v>31</v>
      </c>
    </row>
    <row r="25" spans="3:3" x14ac:dyDescent="0.35">
      <c r="C25" t="s">
        <v>32</v>
      </c>
    </row>
    <row r="26" spans="3:3" x14ac:dyDescent="0.35">
      <c r="C26" t="s">
        <v>31</v>
      </c>
    </row>
  </sheetData>
  <customSheetViews>
    <customSheetView guid="{FEB78FA3-F76F-466D-975D-34D65117687E}"/>
  </customSheetViews>
  <mergeCells count="3">
    <mergeCell ref="B4:C4"/>
    <mergeCell ref="B3:C3"/>
    <mergeCell ref="B5:C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enu">
                <anchor moveWithCells="1" sizeWithCells="1">
                  <from>
                    <xdr:col>2</xdr:col>
                    <xdr:colOff>4343400</xdr:colOff>
                    <xdr:row>5</xdr:row>
                    <xdr:rowOff>88900</xdr:rowOff>
                  </from>
                  <to>
                    <xdr:col>2</xdr:col>
                    <xdr:colOff>5067300</xdr:colOff>
                    <xdr:row>6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AA3B6ECABE3B54EA73F8E59379579D1" ma:contentTypeVersion="3" ma:contentTypeDescription="Crear nuevo documento." ma:contentTypeScope="" ma:versionID="12a96796adc2ae035ca594774af8afa4">
  <xsd:schema xmlns:xsd="http://www.w3.org/2001/XMLSchema" xmlns:xs="http://www.w3.org/2001/XMLSchema" xmlns:p="http://schemas.microsoft.com/office/2006/metadata/properties" xmlns:ns2="327a9720-9585-4826-b744-e951a8bd674d" targetNamespace="http://schemas.microsoft.com/office/2006/metadata/properties" ma:root="true" ma:fieldsID="86ced85327c6d02dd810b36575476ad0" ns2:_="">
    <xsd:import namespace="327a9720-9585-4826-b744-e951a8bd67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27a9720-9585-4826-b744-e951a8bd674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7D03CAC-C555-4B21-931C-55ED3775B31C}"/>
</file>

<file path=customXml/itemProps2.xml><?xml version="1.0" encoding="utf-8"?>
<ds:datastoreItem xmlns:ds="http://schemas.openxmlformats.org/officeDocument/2006/customXml" ds:itemID="{B0393FCC-1824-48B4-ACCC-4FB56113DAB2}"/>
</file>

<file path=customXml/itemProps3.xml><?xml version="1.0" encoding="utf-8"?>
<ds:datastoreItem xmlns:ds="http://schemas.openxmlformats.org/officeDocument/2006/customXml" ds:itemID="{AE559954-C5D8-45C8-9F21-AE9CCC71107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15</vt:i4>
      </vt:variant>
    </vt:vector>
  </HeadingPairs>
  <TitlesOfParts>
    <vt:vector size="21" baseType="lpstr">
      <vt:lpstr>Menú</vt:lpstr>
      <vt:lpstr>Captura de Riesgos</vt:lpstr>
      <vt:lpstr>Análisis Cualitativo</vt:lpstr>
      <vt:lpstr>Análisis Cuantitativo</vt:lpstr>
      <vt:lpstr>Resumen y Plan de Acción</vt:lpstr>
      <vt:lpstr>Estrategias Sugeridas</vt:lpstr>
      <vt:lpstr>AnalisisAplicado</vt:lpstr>
      <vt:lpstr>CategoriaRiesgo</vt:lpstr>
      <vt:lpstr>Escala1</vt:lpstr>
      <vt:lpstr>Escala2</vt:lpstr>
      <vt:lpstr>Estatus</vt:lpstr>
      <vt:lpstr>Inicializado</vt:lpstr>
      <vt:lpstr>NumRiesgos</vt:lpstr>
      <vt:lpstr>Prioridad</vt:lpstr>
      <vt:lpstr>Respuesta</vt:lpstr>
      <vt:lpstr>Riesgos</vt:lpstr>
      <vt:lpstr>TipoAnalisis</vt:lpstr>
      <vt:lpstr>TipoRiesgo</vt:lpstr>
      <vt:lpstr>ZonaAnalisis</vt:lpstr>
      <vt:lpstr>ZonaResumen</vt:lpstr>
      <vt:lpstr>ZonaRiesgos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Rocio</cp:lastModifiedBy>
  <dcterms:created xsi:type="dcterms:W3CDTF">2007-03-26T15:06:29Z</dcterms:created>
  <dcterms:modified xsi:type="dcterms:W3CDTF">2025-06-16T23:17:42Z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0x0101007AA3B6ECABE3B54EA73F8E59379579D1</vt:lpwstr>
  </property>
</Properties>
</file>